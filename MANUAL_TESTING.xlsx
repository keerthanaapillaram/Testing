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Test Cases" sheetId="2" state="visible" r:id="rId4"/>
    <sheet name="Test Case Summary" sheetId="3" state="visible" r:id="rId5"/>
    <sheet name="Metrics" sheetId="4" state="visible" r:id="rId6"/>
    <sheet name="Defect Distribu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<sst xmlns="http://schemas.openxmlformats.org/spreadsheetml/2006/main" count="681" uniqueCount="431">
  <si>
    <t xml:space="preserve">MANUAL TESTING — TEST METRICS &amp; ANALYTICS</t>
  </si>
  <si>
    <t xml:space="preserve">Requirements — Online Flight Booking Website</t>
  </si>
  <si>
    <t xml:space="preserve">Requirement ID</t>
  </si>
  <si>
    <t xml:space="preserve">Requirement</t>
  </si>
  <si>
    <t xml:space="preserve">R1</t>
  </si>
  <si>
    <t xml:space="preserve">The system shall allow users to log in using valid credentials.</t>
  </si>
  <si>
    <t xml:space="preserve">R2</t>
  </si>
  <si>
    <t xml:space="preserve">The system shall allow users to search for available flights.</t>
  </si>
  <si>
    <t xml:space="preserve">R3</t>
  </si>
  <si>
    <t xml:space="preserve">The system shall allow users to select a valid travel date.</t>
  </si>
  <si>
    <t xml:space="preserve">R4</t>
  </si>
  <si>
    <t xml:space="preserve">The system shall allow users to enter valid passenger details.</t>
  </si>
  <si>
    <t xml:space="preserve">R5</t>
  </si>
  <si>
    <t xml:space="preserve">The system shall allow users to select an available flight.</t>
  </si>
  <si>
    <t xml:space="preserve">R6</t>
  </si>
  <si>
    <t xml:space="preserve">The system shall allow users to select an available seat.</t>
  </si>
  <si>
    <t xml:space="preserve">R7</t>
  </si>
  <si>
    <t xml:space="preserve">The system shall process payments using valid payment details.</t>
  </si>
  <si>
    <t xml:space="preserve">R8</t>
  </si>
  <si>
    <t xml:space="preserve">The system shall confirm a booking after successful payment.</t>
  </si>
  <si>
    <t xml:space="preserve">R9</t>
  </si>
  <si>
    <t xml:space="preserve">The system shall allow users to cancel an existing booking.</t>
  </si>
  <si>
    <t xml:space="preserve">R10</t>
  </si>
  <si>
    <t xml:space="preserve">The system shall allow logged-in users to view booking history.</t>
  </si>
  <si>
    <t xml:space="preserve">Total Requirements =</t>
  </si>
  <si>
    <t xml:space="preserve">TC ID</t>
  </si>
  <si>
    <t xml:space="preserve">Test Case</t>
  </si>
  <si>
    <t xml:space="preserve">Expected Result</t>
  </si>
  <si>
    <t xml:space="preserve">Actual Result</t>
  </si>
  <si>
    <t xml:space="preserve">Status</t>
  </si>
  <si>
    <t xml:space="preserve">TC01</t>
  </si>
  <si>
    <t xml:space="preserve">Login with valid username and password</t>
  </si>
  <si>
    <t xml:space="preserve">User should log in successfully</t>
  </si>
  <si>
    <t xml:space="preserve">User logged in successfully</t>
  </si>
  <si>
    <t xml:space="preserve">Pass</t>
  </si>
  <si>
    <t xml:space="preserve">TC02</t>
  </si>
  <si>
    <t xml:space="preserve">Login with invalid password</t>
  </si>
  <si>
    <t xml:space="preserve">Error message should be displayed</t>
  </si>
  <si>
    <t xml:space="preserve">Dashboard opened without error message</t>
  </si>
  <si>
    <t xml:space="preserve">Fail</t>
  </si>
  <si>
    <t xml:space="preserve">TC03</t>
  </si>
  <si>
    <t xml:space="preserve">Login with invalid username</t>
  </si>
  <si>
    <t xml:space="preserve">Error message displayed</t>
  </si>
  <si>
    <t xml:space="preserve">TC04</t>
  </si>
  <si>
    <t xml:space="preserve">Login with both fields empty</t>
  </si>
  <si>
    <t xml:space="preserve">Mandatory messages should appear</t>
  </si>
  <si>
    <t xml:space="preserve">Mandatory messages appeared</t>
  </si>
  <si>
    <t xml:space="preserve">TC05</t>
  </si>
  <si>
    <t xml:space="preserve">Login with valid username and empty password</t>
  </si>
  <si>
    <t xml:space="preserve">Password validation should appear</t>
  </si>
  <si>
    <t xml:space="preserve">Password validation appeared</t>
  </si>
  <si>
    <t xml:space="preserve">TC06</t>
  </si>
  <si>
    <t xml:space="preserve">Login with empty username and valid password</t>
  </si>
  <si>
    <t xml:space="preserve">Username validation should appear</t>
  </si>
  <si>
    <t xml:space="preserve">Username validation appeared</t>
  </si>
  <si>
    <t xml:space="preserve">TC07</t>
  </si>
  <si>
    <t xml:space="preserve">Login with incorrect username and password</t>
  </si>
  <si>
    <t xml:space="preserve">Invalid credentials message should appear</t>
  </si>
  <si>
    <t xml:space="preserve">Invalid credentials message appeared</t>
  </si>
  <si>
    <t xml:space="preserve">TC08</t>
  </si>
  <si>
    <t xml:space="preserve">Login using password with special characters</t>
  </si>
  <si>
    <t xml:space="preserve">Password should be accepted if valid</t>
  </si>
  <si>
    <t xml:space="preserve">Password accepted</t>
  </si>
  <si>
    <t xml:space="preserve">TC09</t>
  </si>
  <si>
    <t xml:space="preserve">Enter password and check masking</t>
  </si>
  <si>
    <t xml:space="preserve">Password should be masked</t>
  </si>
  <si>
    <t xml:space="preserve">Password was masked</t>
  </si>
  <si>
    <t xml:space="preserve">TC10</t>
  </si>
  <si>
    <t xml:space="preserve">Enter password exceeding allowed length</t>
  </si>
  <si>
    <t xml:space="preserve">System should show validation message</t>
  </si>
  <si>
    <t xml:space="preserve">System accepted excessive characters</t>
  </si>
  <si>
    <t xml:space="preserve">TC11</t>
  </si>
  <si>
    <t xml:space="preserve">Search using valid source and destination</t>
  </si>
  <si>
    <t xml:space="preserve">Available flights should be displayed</t>
  </si>
  <si>
    <t xml:space="preserve">Flights displayed</t>
  </si>
  <si>
    <t xml:space="preserve">TC12</t>
  </si>
  <si>
    <t xml:space="preserve">Search without destination</t>
  </si>
  <si>
    <t xml:space="preserve">Validation message should appear</t>
  </si>
  <si>
    <t xml:space="preserve">Search proceeded without validation</t>
  </si>
  <si>
    <t xml:space="preserve">TC13</t>
  </si>
  <si>
    <t xml:space="preserve">Search without source</t>
  </si>
  <si>
    <t xml:space="preserve">Validation message appeared</t>
  </si>
  <si>
    <t xml:space="preserve">TC14</t>
  </si>
  <si>
    <t xml:space="preserve">Search with source and destination as same city</t>
  </si>
  <si>
    <t xml:space="preserve">Appropriate validation should appear</t>
  </si>
  <si>
    <t xml:space="preserve">Validation displayed</t>
  </si>
  <si>
    <t xml:space="preserve">TC15</t>
  </si>
  <si>
    <t xml:space="preserve">Search with all fields empty</t>
  </si>
  <si>
    <t xml:space="preserve">TC16</t>
  </si>
  <si>
    <t xml:space="preserve">Search using valid source, destination and date</t>
  </si>
  <si>
    <t xml:space="preserve">Matching flights should appear</t>
  </si>
  <si>
    <t xml:space="preserve">Matching flights appeared</t>
  </si>
  <si>
    <t xml:space="preserve">TC17</t>
  </si>
  <si>
    <t xml:space="preserve">Search for a route with no available flights</t>
  </si>
  <si>
    <t xml:space="preserve">No-flight message should appear</t>
  </si>
  <si>
    <t xml:space="preserve">No-flight message displayed</t>
  </si>
  <si>
    <t xml:space="preserve">TC18</t>
  </si>
  <si>
    <t xml:space="preserve">Change source after entering destination</t>
  </si>
  <si>
    <t xml:space="preserve">Updated search should be accepted</t>
  </si>
  <si>
    <t xml:space="preserve">Updated search accepted</t>
  </si>
  <si>
    <t xml:space="preserve">TC19</t>
  </si>
  <si>
    <t xml:space="preserve">Search using invalid airport/city</t>
  </si>
  <si>
    <t xml:space="preserve">Validation or no-result message should appear</t>
  </si>
  <si>
    <t xml:space="preserve">No-result message appeared</t>
  </si>
  <si>
    <t xml:space="preserve">TC20</t>
  </si>
  <si>
    <t xml:space="preserve">Search without selecting travel date</t>
  </si>
  <si>
    <t xml:space="preserve">Date validation should appear</t>
  </si>
  <si>
    <t xml:space="preserve">Search proceeded without date validation</t>
  </si>
  <si>
    <t xml:space="preserve">TC21</t>
  </si>
  <si>
    <t xml:space="preserve">Select a valid future date</t>
  </si>
  <si>
    <t xml:space="preserve">Date should be accepted</t>
  </si>
  <si>
    <t xml:space="preserve">Date accepted</t>
  </si>
  <si>
    <t xml:space="preserve">TC22</t>
  </si>
  <si>
    <t xml:space="preserve">Select a past date</t>
  </si>
  <si>
    <t xml:space="preserve">Past date should be rejected</t>
  </si>
  <si>
    <t xml:space="preserve">Past date was accepted</t>
  </si>
  <si>
    <t xml:space="preserve">TC23</t>
  </si>
  <si>
    <t xml:space="preserve">Select today's date</t>
  </si>
  <si>
    <t xml:space="preserve">Date should be handled according to booking rules</t>
  </si>
  <si>
    <t xml:space="preserve">TC24</t>
  </si>
  <si>
    <t xml:space="preserve">Leave travel date empty</t>
  </si>
  <si>
    <t xml:space="preserve">TC25</t>
  </si>
  <si>
    <t xml:space="preserve">Select date from calendar</t>
  </si>
  <si>
    <t xml:space="preserve">Selected date should appear correctly</t>
  </si>
  <si>
    <t xml:space="preserve">Date displayed correctly</t>
  </si>
  <si>
    <t xml:space="preserve">TC26</t>
  </si>
  <si>
    <t xml:space="preserve">Enter invalid date format</t>
  </si>
  <si>
    <t xml:space="preserve">TC27</t>
  </si>
  <si>
    <t xml:space="preserve">Select a date beyond allowed booking period</t>
  </si>
  <si>
    <t xml:space="preserve">System should restrict the date</t>
  </si>
  <si>
    <t xml:space="preserve">Date was restricted</t>
  </si>
  <si>
    <t xml:space="preserve">TC28</t>
  </si>
  <si>
    <t xml:space="preserve">Change selected travel date</t>
  </si>
  <si>
    <t xml:space="preserve">New date should replace previous date</t>
  </si>
  <si>
    <t xml:space="preserve">New date displayed</t>
  </si>
  <si>
    <t xml:space="preserve">TC29</t>
  </si>
  <si>
    <t xml:space="preserve">Select weekend date</t>
  </si>
  <si>
    <t xml:space="preserve">Valid weekend date should be accepted</t>
  </si>
  <si>
    <t xml:space="preserve">TC30</t>
  </si>
  <si>
    <t xml:space="preserve">Select an unavailable travel date</t>
  </si>
  <si>
    <t xml:space="preserve">System should show appropriate message</t>
  </si>
  <si>
    <t xml:space="preserve">Date accepted without warning</t>
  </si>
  <si>
    <t xml:space="preserve">TC31</t>
  </si>
  <si>
    <t xml:space="preserve">Enter valid passenger details</t>
  </si>
  <si>
    <t xml:space="preserve">Details should be accepted</t>
  </si>
  <si>
    <t xml:space="preserve">Details accepted</t>
  </si>
  <si>
    <t xml:space="preserve">TC32</t>
  </si>
  <si>
    <t xml:space="preserve">Leave passenger name empty</t>
  </si>
  <si>
    <t xml:space="preserve">Mandatory message should appear</t>
  </si>
  <si>
    <t xml:space="preserve">Form submitted without message</t>
  </si>
  <si>
    <t xml:space="preserve">TC33</t>
  </si>
  <si>
    <t xml:space="preserve">Enter numbers in passenger name</t>
  </si>
  <si>
    <t xml:space="preserve">Validation should appear</t>
  </si>
  <si>
    <t xml:space="preserve">TC34</t>
  </si>
  <si>
    <t xml:space="preserve">Enter special characters in passenger name</t>
  </si>
  <si>
    <t xml:space="preserve">Invalid character message should appear</t>
  </si>
  <si>
    <t xml:space="preserve">TC35</t>
  </si>
  <si>
    <t xml:space="preserve">Enter valid email address</t>
  </si>
  <si>
    <t xml:space="preserve">Email should be accepted</t>
  </si>
  <si>
    <t xml:space="preserve">Email accepted</t>
  </si>
  <si>
    <t xml:space="preserve">TC36</t>
  </si>
  <si>
    <t xml:space="preserve">Enter invalid email address</t>
  </si>
  <si>
    <t xml:space="preserve">Email validation should appear</t>
  </si>
  <si>
    <t xml:space="preserve">TC37</t>
  </si>
  <si>
    <t xml:space="preserve">Enter valid mobile number</t>
  </si>
  <si>
    <t xml:space="preserve">Mobile number should be accepted</t>
  </si>
  <si>
    <t xml:space="preserve">Number accepted</t>
  </si>
  <si>
    <t xml:space="preserve">TC38</t>
  </si>
  <si>
    <t xml:space="preserve">Enter invalid mobile number</t>
  </si>
  <si>
    <t xml:space="preserve">Mobile validation should appear</t>
  </si>
  <si>
    <t xml:space="preserve">TC39</t>
  </si>
  <si>
    <t xml:space="preserve">Leave mandatory fields empty</t>
  </si>
  <si>
    <t xml:space="preserve">Messages appeared</t>
  </si>
  <si>
    <t xml:space="preserve">TC40</t>
  </si>
  <si>
    <t xml:space="preserve">Enter passenger name exceeding allowed length</t>
  </si>
  <si>
    <t xml:space="preserve">Length validation should appear</t>
  </si>
  <si>
    <t xml:space="preserve">Excessive length accepted</t>
  </si>
  <si>
    <t xml:space="preserve">TC41</t>
  </si>
  <si>
    <t xml:space="preserve">Select an available flight</t>
  </si>
  <si>
    <t xml:space="preserve">Flight should be selected</t>
  </si>
  <si>
    <t xml:space="preserve">Flight selected</t>
  </si>
  <si>
    <t xml:space="preserve">TC42</t>
  </si>
  <si>
    <t xml:space="preserve">Select an unavailable flight</t>
  </si>
  <si>
    <t xml:space="preserve">System should prevent selection</t>
  </si>
  <si>
    <t xml:space="preserve">Unavailable flight selected</t>
  </si>
  <si>
    <t xml:space="preserve">TC43</t>
  </si>
  <si>
    <t xml:space="preserve">View flight details</t>
  </si>
  <si>
    <t xml:space="preserve">Flight details should be displayed</t>
  </si>
  <si>
    <t xml:space="preserve">Details displayed</t>
  </si>
  <si>
    <t xml:space="preserve">TC44</t>
  </si>
  <si>
    <t xml:space="preserve">Select flight after changing search criteria</t>
  </si>
  <si>
    <t xml:space="preserve">Updated flight should be selected</t>
  </si>
  <si>
    <t xml:space="preserve">Updated flight selected</t>
  </si>
  <si>
    <t xml:space="preserve">TC45</t>
  </si>
  <si>
    <t xml:space="preserve">Continue without selecting flight</t>
  </si>
  <si>
    <t xml:space="preserve">TC46</t>
  </si>
  <si>
    <t xml:space="preserve">Select flight with available seats</t>
  </si>
  <si>
    <t xml:space="preserve">Flight should be selectable</t>
  </si>
  <si>
    <t xml:space="preserve">TC47</t>
  </si>
  <si>
    <t xml:space="preserve">Select a cancelled flight</t>
  </si>
  <si>
    <t xml:space="preserve">Selection prevented</t>
  </si>
  <si>
    <t xml:space="preserve">TC48</t>
  </si>
  <si>
    <t xml:space="preserve">Sort flights by price</t>
  </si>
  <si>
    <t xml:space="preserve">Flights should be sorted by price</t>
  </si>
  <si>
    <t xml:space="preserve">Flights sorted correctly</t>
  </si>
  <si>
    <t xml:space="preserve">TC49</t>
  </si>
  <si>
    <t xml:space="preserve">Sort flights by duration</t>
  </si>
  <si>
    <t xml:space="preserve">Flights should be sorted by duration</t>
  </si>
  <si>
    <t xml:space="preserve">TC50</t>
  </si>
  <si>
    <t xml:space="preserve">Select flight after session timeout</t>
  </si>
  <si>
    <t xml:space="preserve">User should be asked to log in again</t>
  </si>
  <si>
    <t xml:space="preserve">Flight selection continued</t>
  </si>
  <si>
    <t xml:space="preserve">TC51</t>
  </si>
  <si>
    <t xml:space="preserve">Select an available seat</t>
  </si>
  <si>
    <t xml:space="preserve">Seat should be selected</t>
  </si>
  <si>
    <t xml:space="preserve">Seat selected</t>
  </si>
  <si>
    <t xml:space="preserve">TC52</t>
  </si>
  <si>
    <t xml:space="preserve">Select an occupied seat</t>
  </si>
  <si>
    <t xml:space="preserve">Occupied seat selected</t>
  </si>
  <si>
    <t xml:space="preserve">TC53</t>
  </si>
  <si>
    <t xml:space="preserve">Continue without selecting seat</t>
  </si>
  <si>
    <t xml:space="preserve">Appropriate message should appear</t>
  </si>
  <si>
    <t xml:space="preserve">Message appeared</t>
  </si>
  <si>
    <t xml:space="preserve">TC54</t>
  </si>
  <si>
    <t xml:space="preserve">Change selected seat</t>
  </si>
  <si>
    <t xml:space="preserve">Previous seat should be released</t>
  </si>
  <si>
    <t xml:space="preserve">Previous seat released</t>
  </si>
  <si>
    <t xml:space="preserve">TC55</t>
  </si>
  <si>
    <t xml:space="preserve">Select multiple seats for one passenger</t>
  </si>
  <si>
    <t xml:space="preserve">System should prevent invalid selection</t>
  </si>
  <si>
    <t xml:space="preserve">Invalid selection prevented</t>
  </si>
  <si>
    <t xml:space="preserve">TC56</t>
  </si>
  <si>
    <t xml:space="preserve">Select a window seat</t>
  </si>
  <si>
    <t xml:space="preserve">Window seat should be selected</t>
  </si>
  <si>
    <t xml:space="preserve">Window seat selected</t>
  </si>
  <si>
    <t xml:space="preserve">TC57</t>
  </si>
  <si>
    <t xml:space="preserve">Select an aisle seat</t>
  </si>
  <si>
    <t xml:space="preserve">Aisle seat should be selected</t>
  </si>
  <si>
    <t xml:space="preserve">Aisle seat selected</t>
  </si>
  <si>
    <t xml:space="preserve">TC58</t>
  </si>
  <si>
    <t xml:space="preserve">Select a seat marked unavailable</t>
  </si>
  <si>
    <t xml:space="preserve">TC59</t>
  </si>
  <si>
    <t xml:space="preserve">Refresh seat selection page</t>
  </si>
  <si>
    <t xml:space="preserve">Selected seat should remain available/selected according to system rules</t>
  </si>
  <si>
    <t xml:space="preserve">Seat information retained</t>
  </si>
  <si>
    <t xml:space="preserve">TC60</t>
  </si>
  <si>
    <t xml:space="preserve">Select seat after session timeout</t>
  </si>
  <si>
    <t xml:space="preserve">User should be redirected to login</t>
  </si>
  <si>
    <t xml:space="preserve">Seat selection continued</t>
  </si>
  <si>
    <t xml:space="preserve">TC61</t>
  </si>
  <si>
    <t xml:space="preserve">Pay using valid card details</t>
  </si>
  <si>
    <t xml:space="preserve">Payment should be completed</t>
  </si>
  <si>
    <t xml:space="preserve">Payment completed</t>
  </si>
  <si>
    <t xml:space="preserve">TC62</t>
  </si>
  <si>
    <t xml:space="preserve">Enter invalid card number</t>
  </si>
  <si>
    <t xml:space="preserve">Payment should be rejected</t>
  </si>
  <si>
    <t xml:space="preserve">Payment was processed</t>
  </si>
  <si>
    <t xml:space="preserve">TC63</t>
  </si>
  <si>
    <t xml:space="preserve">Leave payment fields empty</t>
  </si>
  <si>
    <t xml:space="preserve">Validation messages should appear</t>
  </si>
  <si>
    <t xml:space="preserve">TC64</t>
  </si>
  <si>
    <t xml:space="preserve">Enter expired card</t>
  </si>
  <si>
    <t xml:space="preserve">Payment rejected</t>
  </si>
  <si>
    <t xml:space="preserve">TC65</t>
  </si>
  <si>
    <t xml:space="preserve">Enter invalid CVV</t>
  </si>
  <si>
    <t xml:space="preserve">TC66</t>
  </si>
  <si>
    <t xml:space="preserve">Enter invalid card expiry date</t>
  </si>
  <si>
    <t xml:space="preserve">TC67</t>
  </si>
  <si>
    <t xml:space="preserve">Cancel payment before completion</t>
  </si>
  <si>
    <t xml:space="preserve">Payment should be cancelled</t>
  </si>
  <si>
    <t xml:space="preserve">Payment cancelled</t>
  </si>
  <si>
    <t xml:space="preserve">TC68</t>
  </si>
  <si>
    <t xml:space="preserve">Refresh page during payment</t>
  </si>
  <si>
    <t xml:space="preserve">Transaction should be handled safely</t>
  </si>
  <si>
    <t xml:space="preserve">Transaction handled safely</t>
  </si>
  <si>
    <t xml:space="preserve">TC69</t>
  </si>
  <si>
    <t xml:space="preserve">Verify payment amount</t>
  </si>
  <si>
    <t xml:space="preserve">Amount should match booking amount</t>
  </si>
  <si>
    <t xml:space="preserve">Amount matched</t>
  </si>
  <si>
    <t xml:space="preserve">TC70</t>
  </si>
  <si>
    <t xml:space="preserve">Make payment with insufficient balance</t>
  </si>
  <si>
    <t xml:space="preserve">Payment should fail</t>
  </si>
  <si>
    <t xml:space="preserve">TC71</t>
  </si>
  <si>
    <t xml:space="preserve">Confirm booking after successful payment</t>
  </si>
  <si>
    <t xml:space="preserve">Booking should be confirmed</t>
  </si>
  <si>
    <t xml:space="preserve">Booking confirmed</t>
  </si>
  <si>
    <t xml:space="preserve">TC72</t>
  </si>
  <si>
    <t xml:space="preserve">Confirm booking without payment</t>
  </si>
  <si>
    <t xml:space="preserve">Booking should not be confirmed</t>
  </si>
  <si>
    <t xml:space="preserve">TC73</t>
  </si>
  <si>
    <t xml:space="preserve">Verify booking confirmation number</t>
  </si>
  <si>
    <t xml:space="preserve">Unique confirmation number should be generated</t>
  </si>
  <si>
    <t xml:space="preserve">Number generated</t>
  </si>
  <si>
    <t xml:space="preserve">TC74</t>
  </si>
  <si>
    <t xml:space="preserve">Verify booking details</t>
  </si>
  <si>
    <t xml:space="preserve">Correct details should be displayed</t>
  </si>
  <si>
    <t xml:space="preserve">Details displayed correctly</t>
  </si>
  <si>
    <t xml:space="preserve">TC75</t>
  </si>
  <si>
    <t xml:space="preserve">Refresh confirmation page</t>
  </si>
  <si>
    <t xml:space="preserve">Booking details should remain available</t>
  </si>
  <si>
    <t xml:space="preserve">Details remained available</t>
  </si>
  <si>
    <t xml:space="preserve">TC76</t>
  </si>
  <si>
    <t xml:space="preserve">Verify passenger details in confirmation</t>
  </si>
  <si>
    <t xml:space="preserve">Correct passenger details should appear</t>
  </si>
  <si>
    <t xml:space="preserve">TC77</t>
  </si>
  <si>
    <t xml:space="preserve">Verify flight details in confirmation</t>
  </si>
  <si>
    <t xml:space="preserve">Correct flight details should appear</t>
  </si>
  <si>
    <t xml:space="preserve">TC78</t>
  </si>
  <si>
    <t xml:space="preserve">Verify payment amount in confirmation</t>
  </si>
  <si>
    <t xml:space="preserve">Correct amount should be displayed</t>
  </si>
  <si>
    <t xml:space="preserve">Correct amount displayed</t>
  </si>
  <si>
    <t xml:space="preserve">TC79</t>
  </si>
  <si>
    <t xml:space="preserve">Verify confirmation notification</t>
  </si>
  <si>
    <t xml:space="preserve">Confirmation notification should be sent</t>
  </si>
  <si>
    <t xml:space="preserve">Notification sent</t>
  </si>
  <si>
    <t xml:space="preserve">TC80</t>
  </si>
  <si>
    <t xml:space="preserve">Confirm booking after failed payment</t>
  </si>
  <si>
    <t xml:space="preserve">TC81</t>
  </si>
  <si>
    <t xml:space="preserve">Cancel an existing booking</t>
  </si>
  <si>
    <t xml:space="preserve">Booking should be cancelled</t>
  </si>
  <si>
    <t xml:space="preserve">Booking cancelled</t>
  </si>
  <si>
    <t xml:space="preserve">TC82</t>
  </si>
  <si>
    <t xml:space="preserve">Cancel using invalid booking ID</t>
  </si>
  <si>
    <t xml:space="preserve">Error message should appear</t>
  </si>
  <si>
    <t xml:space="preserve">Cancellation processed</t>
  </si>
  <si>
    <t xml:space="preserve">TC83</t>
  </si>
  <si>
    <t xml:space="preserve">Cancel an already cancelled booking</t>
  </si>
  <si>
    <t xml:space="preserve">Message displayed</t>
  </si>
  <si>
    <t xml:space="preserve">TC84</t>
  </si>
  <si>
    <t xml:space="preserve">Verify cancellation confirmation</t>
  </si>
  <si>
    <t xml:space="preserve">Cancellation status should be displayed</t>
  </si>
  <si>
    <t xml:space="preserve">Status displayed</t>
  </si>
  <si>
    <t xml:space="preserve">TC85</t>
  </si>
  <si>
    <t xml:space="preserve">Try cancellation without login</t>
  </si>
  <si>
    <t xml:space="preserve">Login should be required</t>
  </si>
  <si>
    <t xml:space="preserve">Login required</t>
  </si>
  <si>
    <t xml:space="preserve">TC86</t>
  </si>
  <si>
    <t xml:space="preserve">Cancel within allowed cancellation period</t>
  </si>
  <si>
    <t xml:space="preserve">Cancellation should be allowed</t>
  </si>
  <si>
    <t xml:space="preserve">Cancellation completed</t>
  </si>
  <si>
    <t xml:space="preserve">TC87</t>
  </si>
  <si>
    <t xml:space="preserve">Cancel after cancellation deadline</t>
  </si>
  <si>
    <t xml:space="preserve">Cancellation should be restricted</t>
  </si>
  <si>
    <t xml:space="preserve">Cancellation restricted</t>
  </si>
  <si>
    <t xml:space="preserve">TC88</t>
  </si>
  <si>
    <t xml:space="preserve">Verify refund after cancellation</t>
  </si>
  <si>
    <t xml:space="preserve">Refund information should be displayed</t>
  </si>
  <si>
    <t xml:space="preserve">Refund information displayed</t>
  </si>
  <si>
    <t xml:space="preserve">TC89</t>
  </si>
  <si>
    <t xml:space="preserve">Cancel booking and refresh page</t>
  </si>
  <si>
    <t xml:space="preserve">Booking should remain cancelled</t>
  </si>
  <si>
    <t xml:space="preserve">Booking remained cancelled</t>
  </si>
  <si>
    <t xml:space="preserve">TC90</t>
  </si>
  <si>
    <t xml:space="preserve">Cancel booking using another user's booking ID</t>
  </si>
  <si>
    <t xml:space="preserve">Access should be denied</t>
  </si>
  <si>
    <t xml:space="preserve">Booking was cancelled</t>
  </si>
  <si>
    <t xml:space="preserve">TC91</t>
  </si>
  <si>
    <t xml:space="preserve">View booking history after login</t>
  </si>
  <si>
    <t xml:space="preserve">Previous bookings should be displayed</t>
  </si>
  <si>
    <t xml:space="preserve">Bookings displayed</t>
  </si>
  <si>
    <t xml:space="preserve">TC92</t>
  </si>
  <si>
    <t xml:space="preserve">Access booking history without login</t>
  </si>
  <si>
    <t xml:space="preserve">Booking history displayed</t>
  </si>
  <si>
    <t xml:space="preserve">TC93</t>
  </si>
  <si>
    <t xml:space="preserve">View details of an existing booking</t>
  </si>
  <si>
    <t xml:space="preserve">TC94</t>
  </si>
  <si>
    <t xml:space="preserve">View history when no bookings exist</t>
  </si>
  <si>
    <t xml:space="preserve">TC95</t>
  </si>
  <si>
    <t xml:space="preserve">Refresh booking history</t>
  </si>
  <si>
    <t xml:space="preserve">Booking history should remain available</t>
  </si>
  <si>
    <t xml:space="preserve">History remained available</t>
  </si>
  <si>
    <t xml:space="preserve">TC96</t>
  </si>
  <si>
    <t xml:space="preserve">View cancelled booking</t>
  </si>
  <si>
    <t xml:space="preserve">Cancelled booking should show correct status</t>
  </si>
  <si>
    <t xml:space="preserve">Status displayed correctly</t>
  </si>
  <si>
    <t xml:space="preserve">TC97</t>
  </si>
  <si>
    <t xml:space="preserve">View multiple bookings</t>
  </si>
  <si>
    <t xml:space="preserve">All bookings should be displayed</t>
  </si>
  <si>
    <t xml:space="preserve">All bookings displayed</t>
  </si>
  <si>
    <t xml:space="preserve">TC98</t>
  </si>
  <si>
    <t xml:space="preserve">Search booking using valid booking ID</t>
  </si>
  <si>
    <t xml:space="preserve">Matching booking should be displayed</t>
  </si>
  <si>
    <t xml:space="preserve">Booking displayed</t>
  </si>
  <si>
    <t xml:space="preserve">TC99</t>
  </si>
  <si>
    <t xml:space="preserve">Search booking using invalid booking ID</t>
  </si>
  <si>
    <t xml:space="preserve">No-result/error message should appear</t>
  </si>
  <si>
    <t xml:space="preserve">TC100</t>
  </si>
  <si>
    <t xml:space="preserve">View another user's booking history</t>
  </si>
  <si>
    <t xml:space="preserve">Other user's history displayed</t>
  </si>
  <si>
    <t xml:space="preserve">Test Case Summary</t>
  </si>
  <si>
    <t xml:space="preserve">Test Status</t>
  </si>
  <si>
    <t xml:space="preserve">Number</t>
  </si>
  <si>
    <t xml:space="preserve">Total Test Cases</t>
  </si>
  <si>
    <t xml:space="preserve">Executed Test Cases</t>
  </si>
  <si>
    <t xml:space="preserve">Passed Test Cases</t>
  </si>
  <si>
    <t xml:space="preserve">Failed Test Cases</t>
  </si>
  <si>
    <t xml:space="preserve">Not Executed</t>
  </si>
  <si>
    <t xml:space="preserve">Check: Passed + Failed = Executed</t>
  </si>
  <si>
    <t xml:space="preserve">Check: Executed + Not Executed = Total</t>
  </si>
  <si>
    <t xml:space="preserve">Test Metrics &amp; Analytics</t>
  </si>
  <si>
    <t xml:space="preserve">1. Test Coverage</t>
  </si>
  <si>
    <t xml:space="preserve">Total Requirements</t>
  </si>
  <si>
    <t xml:space="preserve">Requirements Tested</t>
  </si>
  <si>
    <t xml:space="preserve">Test Coverage (%)</t>
  </si>
  <si>
    <t xml:space="preserve">2. Test Execution Percentage</t>
  </si>
  <si>
    <t xml:space="preserve">Test Execution (%)</t>
  </si>
  <si>
    <t xml:space="preserve">3. Pass Rate / Fail Rate</t>
  </si>
  <si>
    <t xml:space="preserve">Pass Rate (%)</t>
  </si>
  <si>
    <t xml:space="preserve">Fail Rate (%)</t>
  </si>
  <si>
    <t xml:space="preserve">4. Defect Density</t>
  </si>
  <si>
    <t xml:space="preserve">Lines of Code (LOC)</t>
  </si>
  <si>
    <t xml:space="preserve">Total Defects</t>
  </si>
  <si>
    <t xml:space="preserve">KLOC</t>
  </si>
  <si>
    <t xml:space="preserve">Defect Density (defects/KLOC)</t>
  </si>
  <si>
    <t xml:space="preserve">5. Page Loading Time (seconds)</t>
  </si>
  <si>
    <t xml:space="preserve">Sample values</t>
  </si>
  <si>
    <t xml:space="preserve">Mean (Average)</t>
  </si>
  <si>
    <t xml:space="preserve">Median</t>
  </si>
  <si>
    <t xml:space="preserve">6. API Response Time (ms)</t>
  </si>
  <si>
    <t xml:space="preserve">7. Critical Defect Percentage</t>
  </si>
  <si>
    <t xml:space="preserve">Critical Defects</t>
  </si>
  <si>
    <t xml:space="preserve">Critical Defect Percentage (%)</t>
  </si>
  <si>
    <t xml:space="preserve">Defect Distribution by Severity</t>
  </si>
  <si>
    <t xml:space="preserve">Severity</t>
  </si>
  <si>
    <t xml:space="preserve">Number of Defects</t>
  </si>
  <si>
    <t xml:space="preserve">Percentage</t>
  </si>
  <si>
    <t xml:space="preserve">Critical</t>
  </si>
  <si>
    <t xml:space="preserve">High</t>
  </si>
  <si>
    <t xml:space="preserve">Medium</t>
  </si>
  <si>
    <t xml:space="preserve">Low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</si>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</sst>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  <c r="B16" s="5" t="n">
        <f aca="false">COUNTA(A5:A14)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5" min="4" style="0" width="30"/>
    <col collapsed="false" customWidth="true" hidden="false" outlineLevel="0" max="6" min="6" style="0" width="10"/>
  </cols>
  <sheetData>
    <row r="1" customFormat="false" ht="26.85" hidden="false" customHeight="false" outlineLevel="0" collapsed="false">
      <c r="A1" s="3" t="s">
        <v>25</v>
      </c>
      <c r="B1" s="3" t="s">
        <v>2</v>
      </c>
      <c r="C1" s="3" t="s">
        <v>26</v>
      </c>
      <c r="D1" s="3" t="s">
        <v>27</v>
      </c>
      <c r="E1" s="3" t="s">
        <v>28</v>
      </c>
      <c r="F1" s="3" t="s">
        <v>29</v>
      </c>
    </row>
    <row r="2" customFormat="false" ht="23.85" hidden="false" customHeight="false" outlineLevel="0" collapsed="false">
      <c r="A2" s="4" t="s">
        <v>30</v>
      </c>
      <c r="B2" s="4" t="s">
        <v>4</v>
      </c>
      <c r="C2" s="4" t="s">
        <v>31</v>
      </c>
      <c r="D2" s="4" t="s">
        <v>32</v>
      </c>
      <c r="E2" s="4" t="s">
        <v>33</v>
      </c>
      <c r="F2" s="6" t="s">
        <v>34</v>
      </c>
    </row>
    <row r="3" customFormat="false" ht="23.85" hidden="false" customHeight="false" outlineLevel="0" collapsed="false">
      <c r="A3" s="4" t="s">
        <v>35</v>
      </c>
      <c r="B3" s="4" t="s">
        <v>4</v>
      </c>
      <c r="C3" s="4" t="s">
        <v>36</v>
      </c>
      <c r="D3" s="4" t="s">
        <v>37</v>
      </c>
      <c r="E3" s="4" t="s">
        <v>38</v>
      </c>
      <c r="F3" s="7" t="s">
        <v>39</v>
      </c>
    </row>
    <row r="4" customFormat="false" ht="15" hidden="false" customHeight="false" outlineLevel="0" collapsed="false">
      <c r="A4" s="4" t="s">
        <v>40</v>
      </c>
      <c r="B4" s="4" t="s">
        <v>4</v>
      </c>
      <c r="C4" s="4" t="s">
        <v>41</v>
      </c>
      <c r="D4" s="4" t="s">
        <v>37</v>
      </c>
      <c r="E4" s="4" t="s">
        <v>42</v>
      </c>
      <c r="F4" s="6" t="s">
        <v>34</v>
      </c>
    </row>
    <row r="5" customFormat="false" ht="15" hidden="false" customHeight="false" outlineLevel="0" collapsed="false">
      <c r="A5" s="4" t="s">
        <v>43</v>
      </c>
      <c r="B5" s="4" t="s">
        <v>4</v>
      </c>
      <c r="C5" s="4" t="s">
        <v>44</v>
      </c>
      <c r="D5" s="4" t="s">
        <v>45</v>
      </c>
      <c r="E5" s="4" t="s">
        <v>46</v>
      </c>
      <c r="F5" s="6" t="s">
        <v>34</v>
      </c>
    </row>
    <row r="6" customFormat="false" ht="23.85" hidden="false" customHeight="false" outlineLevel="0" collapsed="false">
      <c r="A6" s="4" t="s">
        <v>47</v>
      </c>
      <c r="B6" s="4" t="s">
        <v>4</v>
      </c>
      <c r="C6" s="4" t="s">
        <v>48</v>
      </c>
      <c r="D6" s="4" t="s">
        <v>49</v>
      </c>
      <c r="E6" s="4" t="s">
        <v>50</v>
      </c>
      <c r="F6" s="6" t="s">
        <v>34</v>
      </c>
    </row>
    <row r="7" customFormat="false" ht="23.85" hidden="false" customHeight="false" outlineLevel="0" collapsed="false">
      <c r="A7" s="4" t="s">
        <v>51</v>
      </c>
      <c r="B7" s="4" t="s">
        <v>4</v>
      </c>
      <c r="C7" s="4" t="s">
        <v>52</v>
      </c>
      <c r="D7" s="4" t="s">
        <v>53</v>
      </c>
      <c r="E7" s="4" t="s">
        <v>54</v>
      </c>
      <c r="F7" s="6" t="s">
        <v>34</v>
      </c>
    </row>
    <row r="8" customFormat="false" ht="23.85" hidden="false" customHeight="false" outlineLevel="0" collapsed="false">
      <c r="A8" s="4" t="s">
        <v>55</v>
      </c>
      <c r="B8" s="4" t="s">
        <v>4</v>
      </c>
      <c r="C8" s="4" t="s">
        <v>56</v>
      </c>
      <c r="D8" s="4" t="s">
        <v>57</v>
      </c>
      <c r="E8" s="4" t="s">
        <v>58</v>
      </c>
      <c r="F8" s="6" t="s">
        <v>34</v>
      </c>
    </row>
    <row r="9" customFormat="false" ht="23.85" hidden="false" customHeight="false" outlineLevel="0" collapsed="false">
      <c r="A9" s="4" t="s">
        <v>59</v>
      </c>
      <c r="B9" s="4" t="s">
        <v>4</v>
      </c>
      <c r="C9" s="4" t="s">
        <v>60</v>
      </c>
      <c r="D9" s="4" t="s">
        <v>61</v>
      </c>
      <c r="E9" s="4" t="s">
        <v>62</v>
      </c>
      <c r="F9" s="6" t="s">
        <v>34</v>
      </c>
    </row>
    <row r="10" customFormat="false" ht="15" hidden="false" customHeight="false" outlineLevel="0" collapsed="false">
      <c r="A10" s="4" t="s">
        <v>63</v>
      </c>
      <c r="B10" s="4" t="s">
        <v>4</v>
      </c>
      <c r="C10" s="4" t="s">
        <v>64</v>
      </c>
      <c r="D10" s="4" t="s">
        <v>65</v>
      </c>
      <c r="E10" s="4" t="s">
        <v>66</v>
      </c>
      <c r="F10" s="6" t="s">
        <v>34</v>
      </c>
    </row>
    <row r="11" customFormat="false" ht="23.85" hidden="false" customHeight="false" outlineLevel="0" collapsed="false">
      <c r="A11" s="4" t="s">
        <v>67</v>
      </c>
      <c r="B11" s="4" t="s">
        <v>4</v>
      </c>
      <c r="C11" s="4" t="s">
        <v>68</v>
      </c>
      <c r="D11" s="4" t="s">
        <v>69</v>
      </c>
      <c r="E11" s="4" t="s">
        <v>70</v>
      </c>
      <c r="F11" s="7" t="s">
        <v>39</v>
      </c>
    </row>
    <row r="12" customFormat="false" ht="23.85" hidden="false" customHeight="false" outlineLevel="0" collapsed="false">
      <c r="A12" s="4" t="s">
        <v>71</v>
      </c>
      <c r="B12" s="4" t="s">
        <v>6</v>
      </c>
      <c r="C12" s="4" t="s">
        <v>72</v>
      </c>
      <c r="D12" s="4" t="s">
        <v>73</v>
      </c>
      <c r="E12" s="4" t="s">
        <v>74</v>
      </c>
      <c r="F12" s="6" t="s">
        <v>34</v>
      </c>
    </row>
    <row r="13" customFormat="false" ht="15" hidden="false" customHeight="false" outlineLevel="0" collapsed="false">
      <c r="A13" s="4" t="s">
        <v>75</v>
      </c>
      <c r="B13" s="4" t="s">
        <v>6</v>
      </c>
      <c r="C13" s="4" t="s">
        <v>76</v>
      </c>
      <c r="D13" s="4" t="s">
        <v>77</v>
      </c>
      <c r="E13" s="4" t="s">
        <v>78</v>
      </c>
      <c r="F13" s="7" t="s">
        <v>39</v>
      </c>
    </row>
    <row r="14" customFormat="false" ht="15" hidden="false" customHeight="false" outlineLevel="0" collapsed="false">
      <c r="A14" s="4" t="s">
        <v>79</v>
      </c>
      <c r="B14" s="4" t="s">
        <v>6</v>
      </c>
      <c r="C14" s="4" t="s">
        <v>80</v>
      </c>
      <c r="D14" s="4" t="s">
        <v>77</v>
      </c>
      <c r="E14" s="4" t="s">
        <v>81</v>
      </c>
      <c r="F14" s="6" t="s">
        <v>34</v>
      </c>
    </row>
    <row r="15" customFormat="false" ht="23.85" hidden="false" customHeight="false" outlineLevel="0" collapsed="false">
      <c r="A15" s="4" t="s">
        <v>82</v>
      </c>
      <c r="B15" s="4" t="s">
        <v>6</v>
      </c>
      <c r="C15" s="4" t="s">
        <v>83</v>
      </c>
      <c r="D15" s="4" t="s">
        <v>84</v>
      </c>
      <c r="E15" s="4" t="s">
        <v>85</v>
      </c>
      <c r="F15" s="6" t="s">
        <v>34</v>
      </c>
    </row>
    <row r="16" customFormat="false" ht="15" hidden="false" customHeight="false" outlineLevel="0" collapsed="false">
      <c r="A16" s="4" t="s">
        <v>86</v>
      </c>
      <c r="B16" s="4" t="s">
        <v>6</v>
      </c>
      <c r="C16" s="4" t="s">
        <v>87</v>
      </c>
      <c r="D16" s="4" t="s">
        <v>45</v>
      </c>
      <c r="E16" s="4" t="s">
        <v>46</v>
      </c>
      <c r="F16" s="6" t="s">
        <v>34</v>
      </c>
    </row>
    <row r="17" customFormat="false" ht="23.85" hidden="false" customHeight="false" outlineLevel="0" collapsed="false">
      <c r="A17" s="4" t="s">
        <v>88</v>
      </c>
      <c r="B17" s="4" t="s">
        <v>6</v>
      </c>
      <c r="C17" s="4" t="s">
        <v>89</v>
      </c>
      <c r="D17" s="4" t="s">
        <v>90</v>
      </c>
      <c r="E17" s="4" t="s">
        <v>91</v>
      </c>
      <c r="F17" s="6" t="s">
        <v>34</v>
      </c>
    </row>
    <row r="18" customFormat="false" ht="23.85" hidden="false" customHeight="false" outlineLevel="0" collapsed="false">
      <c r="A18" s="4" t="s">
        <v>92</v>
      </c>
      <c r="B18" s="4" t="s">
        <v>6</v>
      </c>
      <c r="C18" s="4" t="s">
        <v>93</v>
      </c>
      <c r="D18" s="4" t="s">
        <v>94</v>
      </c>
      <c r="E18" s="4" t="s">
        <v>95</v>
      </c>
      <c r="F18" s="6" t="s">
        <v>34</v>
      </c>
    </row>
    <row r="19" customFormat="false" ht="23.85" hidden="false" customHeight="false" outlineLevel="0" collapsed="false">
      <c r="A19" s="4" t="s">
        <v>96</v>
      </c>
      <c r="B19" s="4" t="s">
        <v>6</v>
      </c>
      <c r="C19" s="4" t="s">
        <v>97</v>
      </c>
      <c r="D19" s="4" t="s">
        <v>98</v>
      </c>
      <c r="E19" s="4" t="s">
        <v>99</v>
      </c>
      <c r="F19" s="6" t="s">
        <v>34</v>
      </c>
    </row>
    <row r="20" customFormat="false" ht="23.85" hidden="false" customHeight="false" outlineLevel="0" collapsed="false">
      <c r="A20" s="4" t="s">
        <v>100</v>
      </c>
      <c r="B20" s="4" t="s">
        <v>6</v>
      </c>
      <c r="C20" s="4" t="s">
        <v>101</v>
      </c>
      <c r="D20" s="4" t="s">
        <v>102</v>
      </c>
      <c r="E20" s="4" t="s">
        <v>103</v>
      </c>
      <c r="F20" s="6" t="s">
        <v>34</v>
      </c>
    </row>
    <row r="21" customFormat="false" ht="23.85" hidden="false" customHeight="false" outlineLevel="0" collapsed="false">
      <c r="A21" s="4" t="s">
        <v>104</v>
      </c>
      <c r="B21" s="4" t="s">
        <v>6</v>
      </c>
      <c r="C21" s="4" t="s">
        <v>105</v>
      </c>
      <c r="D21" s="4" t="s">
        <v>106</v>
      </c>
      <c r="E21" s="4" t="s">
        <v>107</v>
      </c>
      <c r="F21" s="7" t="s">
        <v>39</v>
      </c>
    </row>
    <row r="22" customFormat="false" ht="15" hidden="false" customHeight="false" outlineLevel="0" collapsed="false">
      <c r="A22" s="4" t="s">
        <v>108</v>
      </c>
      <c r="B22" s="4" t="s">
        <v>8</v>
      </c>
      <c r="C22" s="4" t="s">
        <v>109</v>
      </c>
      <c r="D22" s="4" t="s">
        <v>110</v>
      </c>
      <c r="E22" s="4" t="s">
        <v>111</v>
      </c>
      <c r="F22" s="6" t="s">
        <v>34</v>
      </c>
    </row>
    <row r="23" customFormat="false" ht="15" hidden="false" customHeight="false" outlineLevel="0" collapsed="false">
      <c r="A23" s="4" t="s">
        <v>112</v>
      </c>
      <c r="B23" s="4" t="s">
        <v>8</v>
      </c>
      <c r="C23" s="4" t="s">
        <v>113</v>
      </c>
      <c r="D23" s="4" t="s">
        <v>114</v>
      </c>
      <c r="E23" s="4" t="s">
        <v>115</v>
      </c>
      <c r="F23" s="7" t="s">
        <v>39</v>
      </c>
    </row>
    <row r="24" customFormat="false" ht="23.85" hidden="false" customHeight="false" outlineLevel="0" collapsed="false">
      <c r="A24" s="4" t="s">
        <v>116</v>
      </c>
      <c r="B24" s="4" t="s">
        <v>8</v>
      </c>
      <c r="C24" s="4" t="s">
        <v>117</v>
      </c>
      <c r="D24" s="4" t="s">
        <v>118</v>
      </c>
      <c r="E24" s="4" t="s">
        <v>111</v>
      </c>
      <c r="F24" s="6" t="s">
        <v>34</v>
      </c>
    </row>
    <row r="25" customFormat="false" ht="15" hidden="false" customHeight="false" outlineLevel="0" collapsed="false">
      <c r="A25" s="4" t="s">
        <v>119</v>
      </c>
      <c r="B25" s="4" t="s">
        <v>8</v>
      </c>
      <c r="C25" s="4" t="s">
        <v>120</v>
      </c>
      <c r="D25" s="4" t="s">
        <v>77</v>
      </c>
      <c r="E25" s="4" t="s">
        <v>85</v>
      </c>
      <c r="F25" s="6" t="s">
        <v>34</v>
      </c>
    </row>
    <row r="26" customFormat="false" ht="23.85" hidden="false" customHeight="false" outlineLevel="0" collapsed="false">
      <c r="A26" s="4" t="s">
        <v>121</v>
      </c>
      <c r="B26" s="4" t="s">
        <v>8</v>
      </c>
      <c r="C26" s="4" t="s">
        <v>122</v>
      </c>
      <c r="D26" s="4" t="s">
        <v>123</v>
      </c>
      <c r="E26" s="4" t="s">
        <v>124</v>
      </c>
      <c r="F26" s="6" t="s">
        <v>34</v>
      </c>
    </row>
    <row r="27" customFormat="false" ht="15" hidden="false" customHeight="false" outlineLevel="0" collapsed="false">
      <c r="A27" s="4" t="s">
        <v>125</v>
      </c>
      <c r="B27" s="4" t="s">
        <v>8</v>
      </c>
      <c r="C27" s="4" t="s">
        <v>126</v>
      </c>
      <c r="D27" s="4" t="s">
        <v>77</v>
      </c>
      <c r="E27" s="4" t="s">
        <v>85</v>
      </c>
      <c r="F27" s="6" t="s">
        <v>34</v>
      </c>
    </row>
    <row r="28" customFormat="false" ht="23.85" hidden="false" customHeight="false" outlineLevel="0" collapsed="false">
      <c r="A28" s="4" t="s">
        <v>127</v>
      </c>
      <c r="B28" s="4" t="s">
        <v>8</v>
      </c>
      <c r="C28" s="4" t="s">
        <v>128</v>
      </c>
      <c r="D28" s="4" t="s">
        <v>129</v>
      </c>
      <c r="E28" s="4" t="s">
        <v>130</v>
      </c>
      <c r="F28" s="6" t="s">
        <v>34</v>
      </c>
    </row>
    <row r="29" customFormat="false" ht="23.85" hidden="false" customHeight="false" outlineLevel="0" collapsed="false">
      <c r="A29" s="4" t="s">
        <v>131</v>
      </c>
      <c r="B29" s="4" t="s">
        <v>8</v>
      </c>
      <c r="C29" s="4" t="s">
        <v>132</v>
      </c>
      <c r="D29" s="4" t="s">
        <v>133</v>
      </c>
      <c r="E29" s="4" t="s">
        <v>134</v>
      </c>
      <c r="F29" s="6" t="s">
        <v>34</v>
      </c>
    </row>
    <row r="30" customFormat="false" ht="23.85" hidden="false" customHeight="false" outlineLevel="0" collapsed="false">
      <c r="A30" s="4" t="s">
        <v>135</v>
      </c>
      <c r="B30" s="4" t="s">
        <v>8</v>
      </c>
      <c r="C30" s="4" t="s">
        <v>136</v>
      </c>
      <c r="D30" s="4" t="s">
        <v>137</v>
      </c>
      <c r="E30" s="4" t="s">
        <v>111</v>
      </c>
      <c r="F30" s="6" t="s">
        <v>34</v>
      </c>
    </row>
    <row r="31" customFormat="false" ht="23.85" hidden="false" customHeight="false" outlineLevel="0" collapsed="false">
      <c r="A31" s="4" t="s">
        <v>138</v>
      </c>
      <c r="B31" s="4" t="s">
        <v>8</v>
      </c>
      <c r="C31" s="4" t="s">
        <v>139</v>
      </c>
      <c r="D31" s="4" t="s">
        <v>140</v>
      </c>
      <c r="E31" s="4" t="s">
        <v>141</v>
      </c>
      <c r="F31" s="7" t="s">
        <v>39</v>
      </c>
    </row>
    <row r="32" customFormat="false" ht="15" hidden="false" customHeight="false" outlineLevel="0" collapsed="false">
      <c r="A32" s="4" t="s">
        <v>142</v>
      </c>
      <c r="B32" s="4" t="s">
        <v>10</v>
      </c>
      <c r="C32" s="4" t="s">
        <v>143</v>
      </c>
      <c r="D32" s="4" t="s">
        <v>144</v>
      </c>
      <c r="E32" s="4" t="s">
        <v>145</v>
      </c>
      <c r="F32" s="6" t="s">
        <v>34</v>
      </c>
    </row>
    <row r="33" customFormat="false" ht="15" hidden="false" customHeight="false" outlineLevel="0" collapsed="false">
      <c r="A33" s="4" t="s">
        <v>146</v>
      </c>
      <c r="B33" s="4" t="s">
        <v>10</v>
      </c>
      <c r="C33" s="4" t="s">
        <v>147</v>
      </c>
      <c r="D33" s="4" t="s">
        <v>148</v>
      </c>
      <c r="E33" s="4" t="s">
        <v>149</v>
      </c>
      <c r="F33" s="7" t="s">
        <v>39</v>
      </c>
    </row>
    <row r="34" customFormat="false" ht="15" hidden="false" customHeight="false" outlineLevel="0" collapsed="false">
      <c r="A34" s="4" t="s">
        <v>150</v>
      </c>
      <c r="B34" s="4" t="s">
        <v>10</v>
      </c>
      <c r="C34" s="4" t="s">
        <v>151</v>
      </c>
      <c r="D34" s="4" t="s">
        <v>152</v>
      </c>
      <c r="E34" s="4" t="s">
        <v>85</v>
      </c>
      <c r="F34" s="6" t="s">
        <v>34</v>
      </c>
    </row>
    <row r="35" customFormat="false" ht="23.85" hidden="false" customHeight="false" outlineLevel="0" collapsed="false">
      <c r="A35" s="4" t="s">
        <v>153</v>
      </c>
      <c r="B35" s="4" t="s">
        <v>10</v>
      </c>
      <c r="C35" s="4" t="s">
        <v>154</v>
      </c>
      <c r="D35" s="4" t="s">
        <v>155</v>
      </c>
      <c r="E35" s="4" t="s">
        <v>85</v>
      </c>
      <c r="F35" s="6" t="s">
        <v>34</v>
      </c>
    </row>
    <row r="36" customFormat="false" ht="15" hidden="false" customHeight="false" outlineLevel="0" collapsed="false">
      <c r="A36" s="4" t="s">
        <v>156</v>
      </c>
      <c r="B36" s="4" t="s">
        <v>10</v>
      </c>
      <c r="C36" s="4" t="s">
        <v>157</v>
      </c>
      <c r="D36" s="4" t="s">
        <v>158</v>
      </c>
      <c r="E36" s="4" t="s">
        <v>159</v>
      </c>
      <c r="F36" s="6" t="s">
        <v>34</v>
      </c>
    </row>
    <row r="37" customFormat="false" ht="15" hidden="false" customHeight="false" outlineLevel="0" collapsed="false">
      <c r="A37" s="4" t="s">
        <v>160</v>
      </c>
      <c r="B37" s="4" t="s">
        <v>10</v>
      </c>
      <c r="C37" s="4" t="s">
        <v>161</v>
      </c>
      <c r="D37" s="4" t="s">
        <v>162</v>
      </c>
      <c r="E37" s="4" t="s">
        <v>85</v>
      </c>
      <c r="F37" s="6" t="s">
        <v>34</v>
      </c>
    </row>
    <row r="38" customFormat="false" ht="15" hidden="false" customHeight="false" outlineLevel="0" collapsed="false">
      <c r="A38" s="4" t="s">
        <v>163</v>
      </c>
      <c r="B38" s="4" t="s">
        <v>10</v>
      </c>
      <c r="C38" s="4" t="s">
        <v>164</v>
      </c>
      <c r="D38" s="4" t="s">
        <v>165</v>
      </c>
      <c r="E38" s="4" t="s">
        <v>166</v>
      </c>
      <c r="F38" s="6" t="s">
        <v>34</v>
      </c>
    </row>
    <row r="39" customFormat="false" ht="15" hidden="false" customHeight="false" outlineLevel="0" collapsed="false">
      <c r="A39" s="4" t="s">
        <v>167</v>
      </c>
      <c r="B39" s="4" t="s">
        <v>10</v>
      </c>
      <c r="C39" s="4" t="s">
        <v>168</v>
      </c>
      <c r="D39" s="4" t="s">
        <v>169</v>
      </c>
      <c r="E39" s="4" t="s">
        <v>85</v>
      </c>
      <c r="F39" s="6" t="s">
        <v>34</v>
      </c>
    </row>
    <row r="40" customFormat="false" ht="15" hidden="false" customHeight="false" outlineLevel="0" collapsed="false">
      <c r="A40" s="4" t="s">
        <v>170</v>
      </c>
      <c r="B40" s="4" t="s">
        <v>10</v>
      </c>
      <c r="C40" s="4" t="s">
        <v>171</v>
      </c>
      <c r="D40" s="4" t="s">
        <v>45</v>
      </c>
      <c r="E40" s="4" t="s">
        <v>172</v>
      </c>
      <c r="F40" s="6" t="s">
        <v>34</v>
      </c>
    </row>
    <row r="41" customFormat="false" ht="23.85" hidden="false" customHeight="false" outlineLevel="0" collapsed="false">
      <c r="A41" s="4" t="s">
        <v>173</v>
      </c>
      <c r="B41" s="4" t="s">
        <v>10</v>
      </c>
      <c r="C41" s="4" t="s">
        <v>174</v>
      </c>
      <c r="D41" s="4" t="s">
        <v>175</v>
      </c>
      <c r="E41" s="4" t="s">
        <v>176</v>
      </c>
      <c r="F41" s="7" t="s">
        <v>39</v>
      </c>
    </row>
    <row r="42" customFormat="false" ht="15" hidden="false" customHeight="false" outlineLevel="0" collapsed="false">
      <c r="A42" s="4" t="s">
        <v>177</v>
      </c>
      <c r="B42" s="4" t="s">
        <v>12</v>
      </c>
      <c r="C42" s="4" t="s">
        <v>178</v>
      </c>
      <c r="D42" s="4" t="s">
        <v>179</v>
      </c>
      <c r="E42" s="4" t="s">
        <v>180</v>
      </c>
      <c r="F42" s="6" t="s">
        <v>34</v>
      </c>
    </row>
    <row r="43" customFormat="false" ht="15" hidden="false" customHeight="false" outlineLevel="0" collapsed="false">
      <c r="A43" s="4" t="s">
        <v>181</v>
      </c>
      <c r="B43" s="4" t="s">
        <v>12</v>
      </c>
      <c r="C43" s="4" t="s">
        <v>182</v>
      </c>
      <c r="D43" s="4" t="s">
        <v>183</v>
      </c>
      <c r="E43" s="4" t="s">
        <v>184</v>
      </c>
      <c r="F43" s="7" t="s">
        <v>39</v>
      </c>
    </row>
    <row r="44" customFormat="false" ht="15" hidden="false" customHeight="false" outlineLevel="0" collapsed="false">
      <c r="A44" s="4" t="s">
        <v>185</v>
      </c>
      <c r="B44" s="4" t="s">
        <v>12</v>
      </c>
      <c r="C44" s="4" t="s">
        <v>186</v>
      </c>
      <c r="D44" s="4" t="s">
        <v>187</v>
      </c>
      <c r="E44" s="4" t="s">
        <v>188</v>
      </c>
      <c r="F44" s="6" t="s">
        <v>34</v>
      </c>
    </row>
    <row r="45" customFormat="false" ht="23.85" hidden="false" customHeight="false" outlineLevel="0" collapsed="false">
      <c r="A45" s="4" t="s">
        <v>189</v>
      </c>
      <c r="B45" s="4" t="s">
        <v>12</v>
      </c>
      <c r="C45" s="4" t="s">
        <v>190</v>
      </c>
      <c r="D45" s="4" t="s">
        <v>191</v>
      </c>
      <c r="E45" s="4" t="s">
        <v>192</v>
      </c>
      <c r="F45" s="6" t="s">
        <v>34</v>
      </c>
    </row>
    <row r="46" customFormat="false" ht="15" hidden="false" customHeight="false" outlineLevel="0" collapsed="false">
      <c r="A46" s="4" t="s">
        <v>193</v>
      </c>
      <c r="B46" s="4" t="s">
        <v>12</v>
      </c>
      <c r="C46" s="4" t="s">
        <v>194</v>
      </c>
      <c r="D46" s="4" t="s">
        <v>77</v>
      </c>
      <c r="E46" s="4" t="s">
        <v>85</v>
      </c>
      <c r="F46" s="6" t="s">
        <v>34</v>
      </c>
    </row>
    <row r="47" customFormat="false" ht="15" hidden="false" customHeight="false" outlineLevel="0" collapsed="false">
      <c r="A47" s="4" t="s">
        <v>195</v>
      </c>
      <c r="B47" s="4" t="s">
        <v>12</v>
      </c>
      <c r="C47" s="4" t="s">
        <v>196</v>
      </c>
      <c r="D47" s="4" t="s">
        <v>197</v>
      </c>
      <c r="E47" s="4" t="s">
        <v>180</v>
      </c>
      <c r="F47" s="6" t="s">
        <v>34</v>
      </c>
    </row>
    <row r="48" customFormat="false" ht="15" hidden="false" customHeight="false" outlineLevel="0" collapsed="false">
      <c r="A48" s="4" t="s">
        <v>198</v>
      </c>
      <c r="B48" s="4" t="s">
        <v>12</v>
      </c>
      <c r="C48" s="4" t="s">
        <v>199</v>
      </c>
      <c r="D48" s="4" t="s">
        <v>183</v>
      </c>
      <c r="E48" s="4" t="s">
        <v>200</v>
      </c>
      <c r="F48" s="6" t="s">
        <v>34</v>
      </c>
    </row>
    <row r="49" customFormat="false" ht="15" hidden="false" customHeight="false" outlineLevel="0" collapsed="false">
      <c r="A49" s="4" t="s">
        <v>201</v>
      </c>
      <c r="B49" s="4" t="s">
        <v>12</v>
      </c>
      <c r="C49" s="4" t="s">
        <v>202</v>
      </c>
      <c r="D49" s="4" t="s">
        <v>203</v>
      </c>
      <c r="E49" s="4" t="s">
        <v>204</v>
      </c>
      <c r="F49" s="6" t="s">
        <v>34</v>
      </c>
    </row>
    <row r="50" customFormat="false" ht="15" hidden="false" customHeight="false" outlineLevel="0" collapsed="false">
      <c r="A50" s="4" t="s">
        <v>205</v>
      </c>
      <c r="B50" s="4" t="s">
        <v>12</v>
      </c>
      <c r="C50" s="4" t="s">
        <v>206</v>
      </c>
      <c r="D50" s="4" t="s">
        <v>207</v>
      </c>
      <c r="E50" s="4" t="s">
        <v>204</v>
      </c>
      <c r="F50" s="6" t="s">
        <v>34</v>
      </c>
    </row>
    <row r="51" customFormat="false" ht="15" hidden="false" customHeight="false" outlineLevel="0" collapsed="false">
      <c r="A51" s="4" t="s">
        <v>208</v>
      </c>
      <c r="B51" s="4" t="s">
        <v>12</v>
      </c>
      <c r="C51" s="4" t="s">
        <v>209</v>
      </c>
      <c r="D51" s="4" t="s">
        <v>210</v>
      </c>
      <c r="E51" s="4" t="s">
        <v>211</v>
      </c>
      <c r="F51" s="7" t="s">
        <v>39</v>
      </c>
    </row>
    <row r="52" customFormat="false" ht="15" hidden="false" customHeight="false" outlineLevel="0" collapsed="false">
      <c r="A52" s="4" t="s">
        <v>212</v>
      </c>
      <c r="B52" s="4" t="s">
        <v>14</v>
      </c>
      <c r="C52" s="4" t="s">
        <v>213</v>
      </c>
      <c r="D52" s="4" t="s">
        <v>214</v>
      </c>
      <c r="E52" s="4" t="s">
        <v>215</v>
      </c>
      <c r="F52" s="6" t="s">
        <v>34</v>
      </c>
    </row>
    <row r="53" customFormat="false" ht="15" hidden="false" customHeight="false" outlineLevel="0" collapsed="false">
      <c r="A53" s="4" t="s">
        <v>216</v>
      </c>
      <c r="B53" s="4" t="s">
        <v>14</v>
      </c>
      <c r="C53" s="4" t="s">
        <v>217</v>
      </c>
      <c r="D53" s="4" t="s">
        <v>183</v>
      </c>
      <c r="E53" s="4" t="s">
        <v>218</v>
      </c>
      <c r="F53" s="7" t="s">
        <v>39</v>
      </c>
    </row>
    <row r="54" customFormat="false" ht="15" hidden="false" customHeight="false" outlineLevel="0" collapsed="false">
      <c r="A54" s="4" t="s">
        <v>219</v>
      </c>
      <c r="B54" s="4" t="s">
        <v>14</v>
      </c>
      <c r="C54" s="4" t="s">
        <v>220</v>
      </c>
      <c r="D54" s="4" t="s">
        <v>221</v>
      </c>
      <c r="E54" s="4" t="s">
        <v>222</v>
      </c>
      <c r="F54" s="6" t="s">
        <v>34</v>
      </c>
    </row>
    <row r="55" customFormat="false" ht="15" hidden="false" customHeight="false" outlineLevel="0" collapsed="false">
      <c r="A55" s="4" t="s">
        <v>223</v>
      </c>
      <c r="B55" s="4" t="s">
        <v>14</v>
      </c>
      <c r="C55" s="4" t="s">
        <v>224</v>
      </c>
      <c r="D55" s="4" t="s">
        <v>225</v>
      </c>
      <c r="E55" s="4" t="s">
        <v>226</v>
      </c>
      <c r="F55" s="6" t="s">
        <v>34</v>
      </c>
    </row>
    <row r="56" customFormat="false" ht="23.85" hidden="false" customHeight="false" outlineLevel="0" collapsed="false">
      <c r="A56" s="4" t="s">
        <v>227</v>
      </c>
      <c r="B56" s="4" t="s">
        <v>14</v>
      </c>
      <c r="C56" s="4" t="s">
        <v>228</v>
      </c>
      <c r="D56" s="4" t="s">
        <v>229</v>
      </c>
      <c r="E56" s="4" t="s">
        <v>230</v>
      </c>
      <c r="F56" s="6" t="s">
        <v>34</v>
      </c>
    </row>
    <row r="57" customFormat="false" ht="15" hidden="false" customHeight="false" outlineLevel="0" collapsed="false">
      <c r="A57" s="4" t="s">
        <v>231</v>
      </c>
      <c r="B57" s="4" t="s">
        <v>14</v>
      </c>
      <c r="C57" s="4" t="s">
        <v>232</v>
      </c>
      <c r="D57" s="4" t="s">
        <v>233</v>
      </c>
      <c r="E57" s="4" t="s">
        <v>234</v>
      </c>
      <c r="F57" s="6" t="s">
        <v>34</v>
      </c>
    </row>
    <row r="58" customFormat="false" ht="15" hidden="false" customHeight="false" outlineLevel="0" collapsed="false">
      <c r="A58" s="4" t="s">
        <v>235</v>
      </c>
      <c r="B58" s="4" t="s">
        <v>14</v>
      </c>
      <c r="C58" s="4" t="s">
        <v>236</v>
      </c>
      <c r="D58" s="4" t="s">
        <v>237</v>
      </c>
      <c r="E58" s="4" t="s">
        <v>238</v>
      </c>
      <c r="F58" s="6" t="s">
        <v>34</v>
      </c>
    </row>
    <row r="59" customFormat="false" ht="15" hidden="false" customHeight="false" outlineLevel="0" collapsed="false">
      <c r="A59" s="4" t="s">
        <v>239</v>
      </c>
      <c r="B59" s="4" t="s">
        <v>14</v>
      </c>
      <c r="C59" s="4" t="s">
        <v>240</v>
      </c>
      <c r="D59" s="4" t="s">
        <v>183</v>
      </c>
      <c r="E59" s="4" t="s">
        <v>200</v>
      </c>
      <c r="F59" s="6" t="s">
        <v>34</v>
      </c>
    </row>
    <row r="60" customFormat="false" ht="35.05" hidden="false" customHeight="false" outlineLevel="0" collapsed="false">
      <c r="A60" s="4" t="s">
        <v>241</v>
      </c>
      <c r="B60" s="4" t="s">
        <v>14</v>
      </c>
      <c r="C60" s="4" t="s">
        <v>242</v>
      </c>
      <c r="D60" s="4" t="s">
        <v>243</v>
      </c>
      <c r="E60" s="4" t="s">
        <v>244</v>
      </c>
      <c r="F60" s="6" t="s">
        <v>34</v>
      </c>
    </row>
    <row r="61" customFormat="false" ht="15" hidden="false" customHeight="false" outlineLevel="0" collapsed="false">
      <c r="A61" s="4" t="s">
        <v>245</v>
      </c>
      <c r="B61" s="4" t="s">
        <v>14</v>
      </c>
      <c r="C61" s="4" t="s">
        <v>246</v>
      </c>
      <c r="D61" s="4" t="s">
        <v>247</v>
      </c>
      <c r="E61" s="4" t="s">
        <v>248</v>
      </c>
      <c r="F61" s="7" t="s">
        <v>39</v>
      </c>
    </row>
    <row r="62" customFormat="false" ht="15" hidden="false" customHeight="false" outlineLevel="0" collapsed="false">
      <c r="A62" s="4" t="s">
        <v>249</v>
      </c>
      <c r="B62" s="4" t="s">
        <v>16</v>
      </c>
      <c r="C62" s="4" t="s">
        <v>250</v>
      </c>
      <c r="D62" s="4" t="s">
        <v>251</v>
      </c>
      <c r="E62" s="4" t="s">
        <v>252</v>
      </c>
      <c r="F62" s="6" t="s">
        <v>34</v>
      </c>
    </row>
    <row r="63" customFormat="false" ht="15" hidden="false" customHeight="false" outlineLevel="0" collapsed="false">
      <c r="A63" s="4" t="s">
        <v>253</v>
      </c>
      <c r="B63" s="4" t="s">
        <v>16</v>
      </c>
      <c r="C63" s="4" t="s">
        <v>254</v>
      </c>
      <c r="D63" s="4" t="s">
        <v>255</v>
      </c>
      <c r="E63" s="4" t="s">
        <v>256</v>
      </c>
      <c r="F63" s="7" t="s">
        <v>39</v>
      </c>
    </row>
    <row r="64" customFormat="false" ht="15" hidden="false" customHeight="false" outlineLevel="0" collapsed="false">
      <c r="A64" s="4" t="s">
        <v>257</v>
      </c>
      <c r="B64" s="4" t="s">
        <v>16</v>
      </c>
      <c r="C64" s="4" t="s">
        <v>258</v>
      </c>
      <c r="D64" s="4" t="s">
        <v>259</v>
      </c>
      <c r="E64" s="4" t="s">
        <v>85</v>
      </c>
      <c r="F64" s="6" t="s">
        <v>34</v>
      </c>
    </row>
    <row r="65" customFormat="false" ht="15" hidden="false" customHeight="false" outlineLevel="0" collapsed="false">
      <c r="A65" s="4" t="s">
        <v>260</v>
      </c>
      <c r="B65" s="4" t="s">
        <v>16</v>
      </c>
      <c r="C65" s="4" t="s">
        <v>261</v>
      </c>
      <c r="D65" s="4" t="s">
        <v>255</v>
      </c>
      <c r="E65" s="4" t="s">
        <v>262</v>
      </c>
      <c r="F65" s="6" t="s">
        <v>34</v>
      </c>
    </row>
    <row r="66" customFormat="false" ht="15" hidden="false" customHeight="false" outlineLevel="0" collapsed="false">
      <c r="A66" s="4" t="s">
        <v>263</v>
      </c>
      <c r="B66" s="4" t="s">
        <v>16</v>
      </c>
      <c r="C66" s="4" t="s">
        <v>264</v>
      </c>
      <c r="D66" s="4" t="s">
        <v>255</v>
      </c>
      <c r="E66" s="4" t="s">
        <v>262</v>
      </c>
      <c r="F66" s="6" t="s">
        <v>34</v>
      </c>
    </row>
    <row r="67" customFormat="false" ht="15" hidden="false" customHeight="false" outlineLevel="0" collapsed="false">
      <c r="A67" s="4" t="s">
        <v>265</v>
      </c>
      <c r="B67" s="4" t="s">
        <v>16</v>
      </c>
      <c r="C67" s="4" t="s">
        <v>266</v>
      </c>
      <c r="D67" s="4" t="s">
        <v>152</v>
      </c>
      <c r="E67" s="4" t="s">
        <v>85</v>
      </c>
      <c r="F67" s="6" t="s">
        <v>34</v>
      </c>
    </row>
    <row r="68" customFormat="false" ht="15" hidden="false" customHeight="false" outlineLevel="0" collapsed="false">
      <c r="A68" s="4" t="s">
        <v>267</v>
      </c>
      <c r="B68" s="4" t="s">
        <v>16</v>
      </c>
      <c r="C68" s="4" t="s">
        <v>268</v>
      </c>
      <c r="D68" s="4" t="s">
        <v>269</v>
      </c>
      <c r="E68" s="4" t="s">
        <v>270</v>
      </c>
      <c r="F68" s="6" t="s">
        <v>34</v>
      </c>
    </row>
    <row r="69" customFormat="false" ht="23.85" hidden="false" customHeight="false" outlineLevel="0" collapsed="false">
      <c r="A69" s="4" t="s">
        <v>271</v>
      </c>
      <c r="B69" s="4" t="s">
        <v>16</v>
      </c>
      <c r="C69" s="4" t="s">
        <v>272</v>
      </c>
      <c r="D69" s="4" t="s">
        <v>273</v>
      </c>
      <c r="E69" s="4" t="s">
        <v>274</v>
      </c>
      <c r="F69" s="6" t="s">
        <v>34</v>
      </c>
    </row>
    <row r="70" customFormat="false" ht="23.85" hidden="false" customHeight="false" outlineLevel="0" collapsed="false">
      <c r="A70" s="4" t="s">
        <v>275</v>
      </c>
      <c r="B70" s="4" t="s">
        <v>16</v>
      </c>
      <c r="C70" s="4" t="s">
        <v>276</v>
      </c>
      <c r="D70" s="4" t="s">
        <v>277</v>
      </c>
      <c r="E70" s="4" t="s">
        <v>278</v>
      </c>
      <c r="F70" s="6" t="s">
        <v>34</v>
      </c>
    </row>
    <row r="71" customFormat="false" ht="15" hidden="false" customHeight="false" outlineLevel="0" collapsed="false">
      <c r="A71" s="4" t="s">
        <v>279</v>
      </c>
      <c r="B71" s="4" t="s">
        <v>16</v>
      </c>
      <c r="C71" s="4" t="s">
        <v>280</v>
      </c>
      <c r="D71" s="4" t="s">
        <v>281</v>
      </c>
      <c r="E71" s="4" t="s">
        <v>256</v>
      </c>
      <c r="F71" s="7" t="s">
        <v>39</v>
      </c>
    </row>
    <row r="72" customFormat="false" ht="23.85" hidden="false" customHeight="false" outlineLevel="0" collapsed="false">
      <c r="A72" s="4" t="s">
        <v>282</v>
      </c>
      <c r="B72" s="4" t="s">
        <v>18</v>
      </c>
      <c r="C72" s="4" t="s">
        <v>283</v>
      </c>
      <c r="D72" s="4" t="s">
        <v>284</v>
      </c>
      <c r="E72" s="4" t="s">
        <v>285</v>
      </c>
      <c r="F72" s="6" t="s">
        <v>34</v>
      </c>
    </row>
    <row r="73" customFormat="false" ht="15" hidden="false" customHeight="false" outlineLevel="0" collapsed="false">
      <c r="A73" s="4" t="s">
        <v>286</v>
      </c>
      <c r="B73" s="4" t="s">
        <v>18</v>
      </c>
      <c r="C73" s="4" t="s">
        <v>287</v>
      </c>
      <c r="D73" s="4" t="s">
        <v>288</v>
      </c>
      <c r="E73" s="4" t="s">
        <v>285</v>
      </c>
      <c r="F73" s="7" t="s">
        <v>39</v>
      </c>
    </row>
    <row r="74" customFormat="false" ht="23.85" hidden="false" customHeight="false" outlineLevel="0" collapsed="false">
      <c r="A74" s="4" t="s">
        <v>289</v>
      </c>
      <c r="B74" s="4" t="s">
        <v>18</v>
      </c>
      <c r="C74" s="4" t="s">
        <v>290</v>
      </c>
      <c r="D74" s="4" t="s">
        <v>291</v>
      </c>
      <c r="E74" s="4" t="s">
        <v>292</v>
      </c>
      <c r="F74" s="6" t="s">
        <v>34</v>
      </c>
    </row>
    <row r="75" customFormat="false" ht="15" hidden="false" customHeight="false" outlineLevel="0" collapsed="false">
      <c r="A75" s="4" t="s">
        <v>293</v>
      </c>
      <c r="B75" s="4" t="s">
        <v>18</v>
      </c>
      <c r="C75" s="4" t="s">
        <v>294</v>
      </c>
      <c r="D75" s="4" t="s">
        <v>295</v>
      </c>
      <c r="E75" s="4" t="s">
        <v>296</v>
      </c>
      <c r="F75" s="6" t="s">
        <v>34</v>
      </c>
    </row>
    <row r="76" customFormat="false" ht="23.85" hidden="false" customHeight="false" outlineLevel="0" collapsed="false">
      <c r="A76" s="4" t="s">
        <v>297</v>
      </c>
      <c r="B76" s="4" t="s">
        <v>18</v>
      </c>
      <c r="C76" s="4" t="s">
        <v>298</v>
      </c>
      <c r="D76" s="4" t="s">
        <v>299</v>
      </c>
      <c r="E76" s="4" t="s">
        <v>300</v>
      </c>
      <c r="F76" s="6" t="s">
        <v>34</v>
      </c>
    </row>
    <row r="77" customFormat="false" ht="23.85" hidden="false" customHeight="false" outlineLevel="0" collapsed="false">
      <c r="A77" s="4" t="s">
        <v>301</v>
      </c>
      <c r="B77" s="4" t="s">
        <v>18</v>
      </c>
      <c r="C77" s="4" t="s">
        <v>302</v>
      </c>
      <c r="D77" s="4" t="s">
        <v>303</v>
      </c>
      <c r="E77" s="4" t="s">
        <v>296</v>
      </c>
      <c r="F77" s="6" t="s">
        <v>34</v>
      </c>
    </row>
    <row r="78" customFormat="false" ht="15" hidden="false" customHeight="false" outlineLevel="0" collapsed="false">
      <c r="A78" s="4" t="s">
        <v>304</v>
      </c>
      <c r="B78" s="4" t="s">
        <v>18</v>
      </c>
      <c r="C78" s="4" t="s">
        <v>305</v>
      </c>
      <c r="D78" s="4" t="s">
        <v>306</v>
      </c>
      <c r="E78" s="4" t="s">
        <v>296</v>
      </c>
      <c r="F78" s="6" t="s">
        <v>34</v>
      </c>
    </row>
    <row r="79" customFormat="false" ht="15" hidden="false" customHeight="false" outlineLevel="0" collapsed="false">
      <c r="A79" s="4" t="s">
        <v>307</v>
      </c>
      <c r="B79" s="4" t="s">
        <v>18</v>
      </c>
      <c r="C79" s="4" t="s">
        <v>308</v>
      </c>
      <c r="D79" s="4" t="s">
        <v>309</v>
      </c>
      <c r="E79" s="4" t="s">
        <v>310</v>
      </c>
      <c r="F79" s="6" t="s">
        <v>34</v>
      </c>
    </row>
    <row r="80" customFormat="false" ht="23.85" hidden="false" customHeight="false" outlineLevel="0" collapsed="false">
      <c r="A80" s="4" t="s">
        <v>311</v>
      </c>
      <c r="B80" s="4" t="s">
        <v>18</v>
      </c>
      <c r="C80" s="4" t="s">
        <v>312</v>
      </c>
      <c r="D80" s="4" t="s">
        <v>313</v>
      </c>
      <c r="E80" s="4" t="s">
        <v>314</v>
      </c>
      <c r="F80" s="6" t="s">
        <v>34</v>
      </c>
    </row>
    <row r="81" customFormat="false" ht="15" hidden="false" customHeight="false" outlineLevel="0" collapsed="false">
      <c r="A81" s="4" t="s">
        <v>315</v>
      </c>
      <c r="B81" s="4" t="s">
        <v>18</v>
      </c>
      <c r="C81" s="4" t="s">
        <v>316</v>
      </c>
      <c r="D81" s="4" t="s">
        <v>288</v>
      </c>
      <c r="E81" s="4" t="s">
        <v>285</v>
      </c>
      <c r="F81" s="7" t="s">
        <v>39</v>
      </c>
    </row>
    <row r="82" customFormat="false" ht="15" hidden="false" customHeight="false" outlineLevel="0" collapsed="false">
      <c r="A82" s="4" t="s">
        <v>317</v>
      </c>
      <c r="B82" s="4" t="s">
        <v>20</v>
      </c>
      <c r="C82" s="4" t="s">
        <v>318</v>
      </c>
      <c r="D82" s="4" t="s">
        <v>319</v>
      </c>
      <c r="E82" s="4" t="s">
        <v>320</v>
      </c>
      <c r="F82" s="6" t="s">
        <v>34</v>
      </c>
    </row>
    <row r="83" customFormat="false" ht="15" hidden="false" customHeight="false" outlineLevel="0" collapsed="false">
      <c r="A83" s="4" t="s">
        <v>321</v>
      </c>
      <c r="B83" s="4" t="s">
        <v>20</v>
      </c>
      <c r="C83" s="4" t="s">
        <v>322</v>
      </c>
      <c r="D83" s="4" t="s">
        <v>323</v>
      </c>
      <c r="E83" s="4" t="s">
        <v>324</v>
      </c>
      <c r="F83" s="7" t="s">
        <v>39</v>
      </c>
    </row>
    <row r="84" customFormat="false" ht="15" hidden="false" customHeight="false" outlineLevel="0" collapsed="false">
      <c r="A84" s="4" t="s">
        <v>325</v>
      </c>
      <c r="B84" s="4" t="s">
        <v>20</v>
      </c>
      <c r="C84" s="4" t="s">
        <v>326</v>
      </c>
      <c r="D84" s="4" t="s">
        <v>221</v>
      </c>
      <c r="E84" s="4" t="s">
        <v>327</v>
      </c>
      <c r="F84" s="6" t="s">
        <v>34</v>
      </c>
    </row>
    <row r="85" customFormat="false" ht="23.85" hidden="false" customHeight="false" outlineLevel="0" collapsed="false">
      <c r="A85" s="4" t="s">
        <v>328</v>
      </c>
      <c r="B85" s="4" t="s">
        <v>20</v>
      </c>
      <c r="C85" s="4" t="s">
        <v>329</v>
      </c>
      <c r="D85" s="4" t="s">
        <v>330</v>
      </c>
      <c r="E85" s="4" t="s">
        <v>331</v>
      </c>
      <c r="F85" s="6" t="s">
        <v>34</v>
      </c>
    </row>
    <row r="86" customFormat="false" ht="15" hidden="false" customHeight="false" outlineLevel="0" collapsed="false">
      <c r="A86" s="4" t="s">
        <v>332</v>
      </c>
      <c r="B86" s="4" t="s">
        <v>20</v>
      </c>
      <c r="C86" s="4" t="s">
        <v>333</v>
      </c>
      <c r="D86" s="4" t="s">
        <v>334</v>
      </c>
      <c r="E86" s="4" t="s">
        <v>335</v>
      </c>
      <c r="F86" s="6" t="s">
        <v>34</v>
      </c>
    </row>
    <row r="87" customFormat="false" ht="23.85" hidden="false" customHeight="false" outlineLevel="0" collapsed="false">
      <c r="A87" s="4" t="s">
        <v>336</v>
      </c>
      <c r="B87" s="4" t="s">
        <v>20</v>
      </c>
      <c r="C87" s="4" t="s">
        <v>337</v>
      </c>
      <c r="D87" s="4" t="s">
        <v>338</v>
      </c>
      <c r="E87" s="4" t="s">
        <v>339</v>
      </c>
      <c r="F87" s="6" t="s">
        <v>34</v>
      </c>
    </row>
    <row r="88" customFormat="false" ht="15" hidden="false" customHeight="false" outlineLevel="0" collapsed="false">
      <c r="A88" s="4" t="s">
        <v>340</v>
      </c>
      <c r="B88" s="4" t="s">
        <v>20</v>
      </c>
      <c r="C88" s="4" t="s">
        <v>341</v>
      </c>
      <c r="D88" s="4" t="s">
        <v>342</v>
      </c>
      <c r="E88" s="4" t="s">
        <v>343</v>
      </c>
      <c r="F88" s="6" t="s">
        <v>34</v>
      </c>
    </row>
    <row r="89" customFormat="false" ht="23.85" hidden="false" customHeight="false" outlineLevel="0" collapsed="false">
      <c r="A89" s="4" t="s">
        <v>344</v>
      </c>
      <c r="B89" s="4" t="s">
        <v>20</v>
      </c>
      <c r="C89" s="4" t="s">
        <v>345</v>
      </c>
      <c r="D89" s="4" t="s">
        <v>346</v>
      </c>
      <c r="E89" s="4" t="s">
        <v>347</v>
      </c>
      <c r="F89" s="6" t="s">
        <v>34</v>
      </c>
    </row>
    <row r="90" customFormat="false" ht="15" hidden="false" customHeight="false" outlineLevel="0" collapsed="false">
      <c r="A90" s="4" t="s">
        <v>348</v>
      </c>
      <c r="B90" s="4" t="s">
        <v>20</v>
      </c>
      <c r="C90" s="4" t="s">
        <v>349</v>
      </c>
      <c r="D90" s="4" t="s">
        <v>350</v>
      </c>
      <c r="E90" s="4" t="s">
        <v>351</v>
      </c>
      <c r="F90" s="6" t="s">
        <v>34</v>
      </c>
    </row>
    <row r="91" customFormat="false" ht="23.85" hidden="false" customHeight="false" outlineLevel="0" collapsed="false">
      <c r="A91" s="4" t="s">
        <v>352</v>
      </c>
      <c r="B91" s="4" t="s">
        <v>20</v>
      </c>
      <c r="C91" s="4" t="s">
        <v>353</v>
      </c>
      <c r="D91" s="4" t="s">
        <v>354</v>
      </c>
      <c r="E91" s="4" t="s">
        <v>355</v>
      </c>
      <c r="F91" s="7" t="s">
        <v>39</v>
      </c>
    </row>
    <row r="92" customFormat="false" ht="23.85" hidden="false" customHeight="false" outlineLevel="0" collapsed="false">
      <c r="A92" s="4" t="s">
        <v>356</v>
      </c>
      <c r="B92" s="4" t="s">
        <v>22</v>
      </c>
      <c r="C92" s="4" t="s">
        <v>357</v>
      </c>
      <c r="D92" s="4" t="s">
        <v>358</v>
      </c>
      <c r="E92" s="4" t="s">
        <v>359</v>
      </c>
      <c r="F92" s="6" t="s">
        <v>34</v>
      </c>
    </row>
    <row r="93" customFormat="false" ht="15" hidden="false" customHeight="false" outlineLevel="0" collapsed="false">
      <c r="A93" s="4" t="s">
        <v>360</v>
      </c>
      <c r="B93" s="4" t="s">
        <v>22</v>
      </c>
      <c r="C93" s="4" t="s">
        <v>361</v>
      </c>
      <c r="D93" s="4" t="s">
        <v>334</v>
      </c>
      <c r="E93" s="4" t="s">
        <v>362</v>
      </c>
      <c r="F93" s="7" t="s">
        <v>39</v>
      </c>
    </row>
    <row r="94" customFormat="false" ht="15" hidden="false" customHeight="false" outlineLevel="0" collapsed="false">
      <c r="A94" s="4" t="s">
        <v>363</v>
      </c>
      <c r="B94" s="4" t="s">
        <v>22</v>
      </c>
      <c r="C94" s="4" t="s">
        <v>364</v>
      </c>
      <c r="D94" s="4" t="s">
        <v>295</v>
      </c>
      <c r="E94" s="4" t="s">
        <v>188</v>
      </c>
      <c r="F94" s="6" t="s">
        <v>34</v>
      </c>
    </row>
    <row r="95" customFormat="false" ht="15" hidden="false" customHeight="false" outlineLevel="0" collapsed="false">
      <c r="A95" s="4" t="s">
        <v>365</v>
      </c>
      <c r="B95" s="4" t="s">
        <v>22</v>
      </c>
      <c r="C95" s="4" t="s">
        <v>366</v>
      </c>
      <c r="D95" s="4" t="s">
        <v>221</v>
      </c>
      <c r="E95" s="4" t="s">
        <v>327</v>
      </c>
      <c r="F95" s="6" t="s">
        <v>34</v>
      </c>
    </row>
    <row r="96" customFormat="false" ht="23.85" hidden="false" customHeight="false" outlineLevel="0" collapsed="false">
      <c r="A96" s="4" t="s">
        <v>367</v>
      </c>
      <c r="B96" s="4" t="s">
        <v>22</v>
      </c>
      <c r="C96" s="4" t="s">
        <v>368</v>
      </c>
      <c r="D96" s="4" t="s">
        <v>369</v>
      </c>
      <c r="E96" s="4" t="s">
        <v>370</v>
      </c>
      <c r="F96" s="6" t="s">
        <v>34</v>
      </c>
    </row>
    <row r="97" customFormat="false" ht="23.85" hidden="false" customHeight="false" outlineLevel="0" collapsed="false">
      <c r="A97" s="4" t="s">
        <v>371</v>
      </c>
      <c r="B97" s="4" t="s">
        <v>22</v>
      </c>
      <c r="C97" s="4" t="s">
        <v>372</v>
      </c>
      <c r="D97" s="4" t="s">
        <v>373</v>
      </c>
      <c r="E97" s="4" t="s">
        <v>374</v>
      </c>
      <c r="F97" s="6" t="s">
        <v>34</v>
      </c>
    </row>
    <row r="98" customFormat="false" ht="15" hidden="false" customHeight="false" outlineLevel="0" collapsed="false">
      <c r="A98" s="4" t="s">
        <v>375</v>
      </c>
      <c r="B98" s="4" t="s">
        <v>22</v>
      </c>
      <c r="C98" s="4" t="s">
        <v>376</v>
      </c>
      <c r="D98" s="4" t="s">
        <v>377</v>
      </c>
      <c r="E98" s="4" t="s">
        <v>378</v>
      </c>
      <c r="F98" s="6" t="s">
        <v>34</v>
      </c>
    </row>
    <row r="99" customFormat="false" ht="23.85" hidden="false" customHeight="false" outlineLevel="0" collapsed="false">
      <c r="A99" s="4" t="s">
        <v>379</v>
      </c>
      <c r="B99" s="4" t="s">
        <v>22</v>
      </c>
      <c r="C99" s="4" t="s">
        <v>380</v>
      </c>
      <c r="D99" s="4" t="s">
        <v>381</v>
      </c>
      <c r="E99" s="4" t="s">
        <v>382</v>
      </c>
      <c r="F99" s="6" t="s">
        <v>34</v>
      </c>
    </row>
    <row r="100" customFormat="false" ht="23.85" hidden="false" customHeight="false" outlineLevel="0" collapsed="false">
      <c r="A100" s="4" t="s">
        <v>383</v>
      </c>
      <c r="B100" s="4" t="s">
        <v>22</v>
      </c>
      <c r="C100" s="4" t="s">
        <v>384</v>
      </c>
      <c r="D100" s="4" t="s">
        <v>385</v>
      </c>
      <c r="E100" s="4" t="s">
        <v>327</v>
      </c>
      <c r="F100" s="6" t="s">
        <v>34</v>
      </c>
    </row>
    <row r="101" customFormat="false" ht="15" hidden="false" customHeight="false" outlineLevel="0" collapsed="false">
      <c r="A101" s="4" t="s">
        <v>386</v>
      </c>
      <c r="B101" s="4" t="s">
        <v>22</v>
      </c>
      <c r="C101" s="4" t="s">
        <v>387</v>
      </c>
      <c r="D101" s="4" t="s">
        <v>354</v>
      </c>
      <c r="E101" s="4" t="s">
        <v>388</v>
      </c>
      <c r="F101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389</v>
      </c>
    </row>
    <row r="3" customFormat="false" ht="15" hidden="false" customHeight="false" outlineLevel="0" collapsed="false">
      <c r="A3" s="3" t="s">
        <v>390</v>
      </c>
      <c r="B3" s="3" t="s">
        <v>391</v>
      </c>
    </row>
    <row r="4" customFormat="false" ht="15" hidden="false" customHeight="false" outlineLevel="0" collapsed="false">
      <c r="A4" s="8" t="s">
        <v>392</v>
      </c>
      <c r="B4" s="8" t="n">
        <v>100</v>
      </c>
    </row>
    <row r="5" customFormat="false" ht="15" hidden="false" customHeight="false" outlineLevel="0" collapsed="false">
      <c r="A5" s="8" t="s">
        <v>393</v>
      </c>
      <c r="B5" s="8" t="n">
        <v>90</v>
      </c>
    </row>
    <row r="6" customFormat="false" ht="15" hidden="false" customHeight="false" outlineLevel="0" collapsed="false">
      <c r="A6" s="8" t="s">
        <v>394</v>
      </c>
      <c r="B6" s="8" t="n">
        <v>72</v>
      </c>
    </row>
    <row r="7" customFormat="false" ht="15" hidden="false" customHeight="false" outlineLevel="0" collapsed="false">
      <c r="A7" s="8" t="s">
        <v>395</v>
      </c>
      <c r="B7" s="8" t="n">
        <v>18</v>
      </c>
    </row>
    <row r="8" customFormat="false" ht="15" hidden="false" customHeight="false" outlineLevel="0" collapsed="false">
      <c r="A8" s="8" t="s">
        <v>396</v>
      </c>
      <c r="B8" s="8" t="n">
        <v>10</v>
      </c>
    </row>
    <row r="10" customFormat="false" ht="15" hidden="false" customHeight="false" outlineLevel="0" collapsed="false">
      <c r="A10" s="5" t="s">
        <v>397</v>
      </c>
      <c r="B10" s="9" t="n">
        <f aca="false">B6+B7-B5</f>
        <v>0</v>
      </c>
    </row>
    <row r="11" customFormat="false" ht="15" hidden="false" customHeight="false" outlineLevel="0" collapsed="false">
      <c r="A11" s="5" t="s">
        <v>398</v>
      </c>
      <c r="B11" s="9" t="n">
        <f aca="false">B5+B8-B4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399</v>
      </c>
    </row>
    <row r="3" customFormat="false" ht="15" hidden="false" customHeight="false" outlineLevel="0" collapsed="false">
      <c r="A3" s="10" t="s">
        <v>400</v>
      </c>
    </row>
    <row r="4" customFormat="false" ht="15" hidden="false" customHeight="false" outlineLevel="0" collapsed="false">
      <c r="A4" s="8" t="s">
        <v>401</v>
      </c>
      <c r="B4" s="8" t="n">
        <f aca="false">Requirements!B16</f>
        <v>10</v>
      </c>
    </row>
    <row r="5" customFormat="false" ht="15" hidden="false" customHeight="false" outlineLevel="0" collapsed="false">
      <c r="A5" s="8" t="s">
        <v>402</v>
      </c>
      <c r="B5" s="8" t="n">
        <v>9</v>
      </c>
    </row>
    <row r="6" customFormat="false" ht="15" hidden="false" customHeight="false" outlineLevel="0" collapsed="false">
      <c r="A6" s="11" t="s">
        <v>403</v>
      </c>
      <c r="B6" s="11" t="n">
        <f aca="false">(B5/B4)*100</f>
        <v>90</v>
      </c>
    </row>
    <row r="8" customFormat="false" ht="15" hidden="false" customHeight="false" outlineLevel="0" collapsed="false">
      <c r="A8" s="10" t="s">
        <v>404</v>
      </c>
    </row>
    <row r="9" customFormat="false" ht="15" hidden="false" customHeight="false" outlineLevel="0" collapsed="false">
      <c r="A9" s="8" t="s">
        <v>392</v>
      </c>
      <c r="B9" s="8" t="n">
        <f aca="false">'Test Case Summary'!B4</f>
        <v>100</v>
      </c>
    </row>
    <row r="10" customFormat="false" ht="15" hidden="false" customHeight="false" outlineLevel="0" collapsed="false">
      <c r="A10" s="8" t="s">
        <v>393</v>
      </c>
      <c r="B10" s="8" t="n">
        <f aca="false">'Test Case Summary'!B5</f>
        <v>90</v>
      </c>
    </row>
    <row r="11" customFormat="false" ht="15" hidden="false" customHeight="false" outlineLevel="0" collapsed="false">
      <c r="A11" s="11" t="s">
        <v>405</v>
      </c>
      <c r="B11" s="11" t="n">
        <f aca="false">(B10/B9)*100</f>
        <v>90</v>
      </c>
    </row>
    <row r="13" customFormat="false" ht="15" hidden="false" customHeight="false" outlineLevel="0" collapsed="false">
      <c r="A13" s="10" t="s">
        <v>406</v>
      </c>
    </row>
    <row r="14" customFormat="false" ht="15" hidden="false" customHeight="false" outlineLevel="0" collapsed="false">
      <c r="A14" s="8" t="s">
        <v>394</v>
      </c>
      <c r="B14" s="8" t="n">
        <f aca="false">'Test Case Summary'!B6</f>
        <v>72</v>
      </c>
    </row>
    <row r="15" customFormat="false" ht="15" hidden="false" customHeight="false" outlineLevel="0" collapsed="false">
      <c r="A15" s="8" t="s">
        <v>395</v>
      </c>
      <c r="B15" s="8" t="n">
        <f aca="false">'Test Case Summary'!B7</f>
        <v>18</v>
      </c>
    </row>
    <row r="16" customFormat="false" ht="15" hidden="false" customHeight="false" outlineLevel="0" collapsed="false">
      <c r="A16" s="11" t="s">
        <v>407</v>
      </c>
      <c r="B16" s="11" t="n">
        <f aca="false">(B14/B10)*100</f>
        <v>80</v>
      </c>
    </row>
    <row r="17" customFormat="false" ht="15" hidden="false" customHeight="false" outlineLevel="0" collapsed="false">
      <c r="A17" s="11" t="s">
        <v>408</v>
      </c>
      <c r="B17" s="11" t="n">
        <f aca="false">(B15/B10)*100</f>
        <v>20</v>
      </c>
    </row>
    <row r="19" customFormat="false" ht="15" hidden="false" customHeight="false" outlineLevel="0" collapsed="false">
      <c r="A19" s="10" t="s">
        <v>409</v>
      </c>
    </row>
    <row r="20" customFormat="false" ht="15" hidden="false" customHeight="false" outlineLevel="0" collapsed="false">
      <c r="A20" s="8" t="s">
        <v>410</v>
      </c>
      <c r="B20" s="8" t="n">
        <v>40000</v>
      </c>
    </row>
    <row r="21" customFormat="false" ht="15" hidden="false" customHeight="false" outlineLevel="0" collapsed="false">
      <c r="A21" s="8" t="s">
        <v>411</v>
      </c>
      <c r="B21" s="8" t="n">
        <v>20</v>
      </c>
    </row>
    <row r="22" customFormat="false" ht="15" hidden="false" customHeight="false" outlineLevel="0" collapsed="false">
      <c r="A22" s="8" t="s">
        <v>412</v>
      </c>
      <c r="B22" s="8" t="n">
        <f aca="false">B20/1000</f>
        <v>40</v>
      </c>
    </row>
    <row r="23" customFormat="false" ht="15" hidden="false" customHeight="false" outlineLevel="0" collapsed="false">
      <c r="A23" s="11" t="s">
        <v>413</v>
      </c>
      <c r="B23" s="11" t="n">
        <f aca="false">B21/B22</f>
        <v>0.5</v>
      </c>
    </row>
    <row r="25" customFormat="false" ht="15" hidden="false" customHeight="false" outlineLevel="0" collapsed="false">
      <c r="A25" s="10" t="s">
        <v>414</v>
      </c>
    </row>
    <row r="26" customFormat="false" ht="15" hidden="false" customHeight="false" outlineLevel="0" collapsed="false">
      <c r="A26" s="8" t="s">
        <v>415</v>
      </c>
      <c r="B26" s="8" t="n">
        <v>2</v>
      </c>
      <c r="C26" s="8" t="n">
        <v>3</v>
      </c>
      <c r="D26" s="8" t="n">
        <v>4</v>
      </c>
      <c r="E26" s="8" t="n">
        <v>3</v>
      </c>
      <c r="F26" s="8" t="n">
        <v>8</v>
      </c>
    </row>
    <row r="27" customFormat="false" ht="15" hidden="false" customHeight="false" outlineLevel="0" collapsed="false">
      <c r="A27" s="11" t="s">
        <v>416</v>
      </c>
      <c r="B27" s="11" t="n">
        <f aca="false">AVERAGE(B26:F26)</f>
        <v>4</v>
      </c>
    </row>
    <row r="28" customFormat="false" ht="15" hidden="false" customHeight="false" outlineLevel="0" collapsed="false">
      <c r="A28" s="11" t="s">
        <v>417</v>
      </c>
      <c r="B28" s="11" t="n">
        <f aca="false">MEDIAN(B26:F26)</f>
        <v>3</v>
      </c>
    </row>
    <row r="30" customFormat="false" ht="15" hidden="false" customHeight="false" outlineLevel="0" collapsed="false">
      <c r="A30" s="10" t="s">
        <v>418</v>
      </c>
    </row>
    <row r="31" customFormat="false" ht="15" hidden="false" customHeight="false" outlineLevel="0" collapsed="false">
      <c r="A31" s="8" t="s">
        <v>415</v>
      </c>
      <c r="B31" s="8" t="n">
        <v>100</v>
      </c>
      <c r="C31" s="8" t="n">
        <v>120</v>
      </c>
      <c r="D31" s="8" t="n">
        <v>150</v>
      </c>
      <c r="E31" s="8" t="n">
        <v>110</v>
      </c>
      <c r="F31" s="8" t="n">
        <v>130</v>
      </c>
      <c r="G31" s="8" t="n">
        <v>90</v>
      </c>
    </row>
    <row r="32" customFormat="false" ht="15" hidden="false" customHeight="false" outlineLevel="0" collapsed="false">
      <c r="A32" s="11" t="s">
        <v>416</v>
      </c>
      <c r="B32" s="11" t="n">
        <f aca="false">AVERAGE(B31:G31)</f>
        <v>116.666666666667</v>
      </c>
    </row>
    <row r="33" customFormat="false" ht="15" hidden="false" customHeight="false" outlineLevel="0" collapsed="false">
      <c r="A33" s="11" t="s">
        <v>417</v>
      </c>
      <c r="B33" s="11" t="n">
        <f aca="false">MEDIAN(B31:G31)</f>
        <v>115</v>
      </c>
    </row>
    <row r="35" customFormat="false" ht="15" hidden="false" customHeight="false" outlineLevel="0" collapsed="false">
      <c r="A35" s="10" t="s">
        <v>419</v>
      </c>
    </row>
    <row r="36" customFormat="false" ht="15" hidden="false" customHeight="false" outlineLevel="0" collapsed="false">
      <c r="A36" s="8" t="s">
        <v>411</v>
      </c>
      <c r="B36" s="8" t="n">
        <f aca="false">B21</f>
        <v>20</v>
      </c>
    </row>
    <row r="37" customFormat="false" ht="15" hidden="false" customHeight="false" outlineLevel="0" collapsed="false">
      <c r="A37" s="8" t="s">
        <v>420</v>
      </c>
      <c r="B37" s="8" t="n">
        <v>2</v>
      </c>
    </row>
    <row r="38" customFormat="false" ht="15" hidden="false" customHeight="false" outlineLevel="0" collapsed="false">
      <c r="A38" s="11" t="s">
        <v>421</v>
      </c>
      <c r="B38" s="11" t="n">
        <f aca="false">(B37/B36)*100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422</v>
      </c>
    </row>
    <row r="3" customFormat="false" ht="15" hidden="false" customHeight="false" outlineLevel="0" collapsed="false">
      <c r="A3" s="3" t="s">
        <v>423</v>
      </c>
      <c r="B3" s="3" t="s">
        <v>424</v>
      </c>
      <c r="C3" s="3" t="s">
        <v>425</v>
      </c>
    </row>
    <row r="4" customFormat="false" ht="15" hidden="false" customHeight="false" outlineLevel="0" collapsed="false">
      <c r="A4" s="8" t="s">
        <v>426</v>
      </c>
      <c r="B4" s="8" t="n">
        <v>2</v>
      </c>
      <c r="C4" s="12" t="n">
        <f aca="false">B4/$B$8*100</f>
        <v>10</v>
      </c>
    </row>
    <row r="5" customFormat="false" ht="15" hidden="false" customHeight="false" outlineLevel="0" collapsed="false">
      <c r="A5" s="8" t="s">
        <v>427</v>
      </c>
      <c r="B5" s="8" t="n">
        <v>4</v>
      </c>
      <c r="C5" s="12" t="n">
        <f aca="false">B5/$B$8*100</f>
        <v>20</v>
      </c>
    </row>
    <row r="6" customFormat="false" ht="15" hidden="false" customHeight="false" outlineLevel="0" collapsed="false">
      <c r="A6" s="8" t="s">
        <v>428</v>
      </c>
      <c r="B6" s="8" t="n">
        <v>8</v>
      </c>
      <c r="C6" s="12" t="n">
        <f aca="false">B6/$B$8*100</f>
        <v>40</v>
      </c>
    </row>
    <row r="7" customFormat="false" ht="15" hidden="false" customHeight="false" outlineLevel="0" collapsed="false">
      <c r="A7" s="8" t="s">
        <v>429</v>
      </c>
      <c r="B7" s="8" t="n">
        <v>6</v>
      </c>
      <c r="C7" s="12" t="n">
        <f aca="false">B7/$B$8*100</f>
        <v>30</v>
      </c>
    </row>
    <row r="8" customFormat="false" ht="15" hidden="false" customHeight="false" outlineLevel="0" collapsed="false">
      <c r="A8" s="11" t="s">
        <v>430</v>
      </c>
      <c r="B8" s="11" t="n">
        <f aca="false">SUM(B4:B7)</f>
        <v>20</v>
      </c>
      <c r="C8" s="13" t="n">
        <f aca="false">SUM(C4:C7)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2026-09-24T07:56:42Z</dcterms:created>
  <dc:creator>openpyxl</dc:creator>
  <dc:description/>
  <dc:language>en-US</dc:language>
  <cp:lastModifiedBy/>
  <dcterms:modified xsi:type="dcterms:W3CDTF">2026-09-24T07:56:42Z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