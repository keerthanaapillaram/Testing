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DD603FB-D2B5-4FCE-B050-E9250C06187F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Justdial Testing" sheetId="1" r:id="rId1"/>
    <sheet name="Test Plan Templat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" i="2" l="1"/>
  <c r="F6" i="2"/>
  <c r="E6" i="2"/>
  <c r="H4" i="2"/>
  <c r="H6" i="2" s="1"/>
  <c r="G4" i="2"/>
  <c r="F4" i="2"/>
  <c r="E4" i="2"/>
  <c r="G6" i="1"/>
  <c r="F6" i="1"/>
  <c r="E6" i="1"/>
  <c r="H4" i="1"/>
  <c r="H6" i="1" s="1"/>
  <c r="G4" i="1"/>
  <c r="F4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3" authorId="0" shapeId="0" xr:uid="{00000000-0006-0000-0000-000001000000}">
      <text>
        <r>
          <rPr>
            <sz val="10"/>
            <rFont val="Arial"/>
            <family val="2"/>
          </rPr>
          <t>Test Case ID: Unique identifier for each test case (e.g., TC001, TC002) used for tracking and bug logging.</t>
        </r>
      </text>
    </comment>
    <comment ref="B13" authorId="0" shapeId="0" xr:uid="{00000000-0006-0000-0000-000002000000}">
      <text>
        <r>
          <rPr>
            <sz val="10"/>
            <rFont val="Arial"/>
            <family val="2"/>
          </rPr>
          <t>Module: Functional feature or area being validated (e.g., Login, Search, Product, Cart, Wishlist, Checkout).</t>
        </r>
      </text>
    </comment>
    <comment ref="C13" authorId="0" shapeId="0" xr:uid="{00000000-0006-0000-0000-000003000000}">
      <text>
        <r>
          <rPr>
            <sz val="10"/>
            <rFont val="Arial"/>
            <family val="2"/>
          </rPr>
          <t>Test Scenario: High-level description of the specific functionality or user behavior under test.</t>
        </r>
      </text>
    </comment>
    <comment ref="D13" authorId="0" shapeId="0" xr:uid="{00000000-0006-0000-0000-000004000000}">
      <text>
        <r>
          <rPr>
            <sz val="10"/>
            <rFont val="Arial"/>
            <family val="2"/>
          </rPr>
          <t>Test Steps: Step-by-step user actions executed sequentially in the browser.</t>
        </r>
      </text>
    </comment>
    <comment ref="E13" authorId="0" shapeId="0" xr:uid="{00000000-0006-0000-0000-000005000000}">
      <text>
        <r>
          <rPr>
            <sz val="10"/>
            <rFont val="Arial"/>
            <family val="2"/>
          </rPr>
          <t>Test Data: Input values, credentials, or parameters used during the test execution (valid and invalid).</t>
        </r>
      </text>
    </comment>
    <comment ref="F13" authorId="0" shapeId="0" xr:uid="{00000000-0006-0000-0000-000006000000}">
      <text>
        <r>
          <rPr>
            <sz val="10"/>
            <rFont val="Arial"/>
            <family val="2"/>
          </rPr>
          <t>Expected Result: Intended and correct system behavior specified by product requirements.</t>
        </r>
      </text>
    </comment>
    <comment ref="G13" authorId="0" shapeId="0" xr:uid="{00000000-0006-0000-0000-000007000000}">
      <text>
        <r>
          <rPr>
            <sz val="10"/>
            <rFont val="Arial"/>
            <family val="2"/>
          </rPr>
          <t>Actual Result: Real observed behavior during testing. Choose 'Done as expected' (Pass), 'Issue observed' (Fail), or 'Pending'.</t>
        </r>
      </text>
    </comment>
    <comment ref="H13" authorId="0" shapeId="0" xr:uid="{00000000-0006-0000-0000-000008000000}">
      <text>
        <r>
          <rPr>
            <sz val="10"/>
            <rFont val="Arial"/>
            <family val="2"/>
          </rPr>
          <t>Status: Current test verdict: Passed, Failed, Blocked, or Not Executed (Pending execution).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3" authorId="0" shapeId="0" xr:uid="{00000000-0006-0000-0100-000001000000}">
      <text>
        <r>
          <rPr>
            <sz val="10"/>
            <rFont val="Arial"/>
            <family val="2"/>
          </rPr>
          <t>Unique identifier for each test case (e.g. TC001, TC002)</t>
        </r>
      </text>
    </comment>
    <comment ref="B13" authorId="0" shapeId="0" xr:uid="{00000000-0006-0000-0100-000002000000}">
      <text>
        <r>
          <rPr>
            <sz val="10"/>
            <rFont val="Arial"/>
            <family val="2"/>
          </rPr>
          <t>Functional module or component under test (e.g. Auth, Cart, Search)</t>
        </r>
      </text>
    </comment>
    <comment ref="C13" authorId="0" shapeId="0" xr:uid="{00000000-0006-0000-0100-000003000000}">
      <text>
        <r>
          <rPr>
            <sz val="10"/>
            <rFont val="Arial"/>
            <family val="2"/>
          </rPr>
          <t>High-level description of what feature/behavior is being tested</t>
        </r>
      </text>
    </comment>
    <comment ref="D13" authorId="0" shapeId="0" xr:uid="{00000000-0006-0000-0100-000004000000}">
      <text>
        <r>
          <rPr>
            <sz val="10"/>
            <rFont val="Arial"/>
            <family val="2"/>
          </rPr>
          <t>Sequential, step-by-step instructions to reproduce the test scenario</t>
        </r>
      </text>
    </comment>
    <comment ref="E13" authorId="0" shapeId="0" xr:uid="{00000000-0006-0000-0100-000005000000}">
      <text>
        <r>
          <rPr>
            <sz val="10"/>
            <rFont val="Arial"/>
            <family val="2"/>
          </rPr>
          <t>Specific input values, credentials, or system state required for execution</t>
        </r>
      </text>
    </comment>
    <comment ref="F13" authorId="0" shapeId="0" xr:uid="{00000000-0006-0000-0100-000006000000}">
      <text>
        <r>
          <rPr>
            <sz val="10"/>
            <rFont val="Arial"/>
            <family val="2"/>
          </rPr>
          <t>The anticipated system response or UI behavior according to specifications</t>
        </r>
      </text>
    </comment>
    <comment ref="G13" authorId="0" shapeId="0" xr:uid="{00000000-0006-0000-0100-000007000000}">
      <text>
        <r>
          <rPr>
            <sz val="10"/>
            <rFont val="Arial"/>
            <family val="2"/>
          </rPr>
          <t>The observed system behavior during execution (Done as expected, Issue observed, Pending)</t>
        </r>
      </text>
    </comment>
    <comment ref="H13" authorId="0" shapeId="0" xr:uid="{00000000-0006-0000-0100-000008000000}">
      <text>
        <r>
          <rPr>
            <sz val="10"/>
            <rFont val="Arial"/>
            <family val="2"/>
          </rPr>
          <t>Overall execution verdict (Passed, Failed, Blocked, Not Executed)</t>
        </r>
      </text>
    </comment>
  </commentList>
</comments>
</file>

<file path=xl/sharedStrings.xml><?xml version="1.0" encoding="utf-8"?>
<sst xmlns="http://schemas.openxmlformats.org/spreadsheetml/2006/main" count="234" uniqueCount="155">
  <si>
    <t>JUSTDIAL PLATFORM - TEST PLAN DOCUMENT</t>
  </si>
  <si>
    <t>Field</t>
  </si>
  <si>
    <t>Details</t>
  </si>
  <si>
    <t>QA EXECUTION SUMMARY</t>
  </si>
  <si>
    <t>Project</t>
  </si>
  <si>
    <t>Justdial Website (justdial.com)</t>
  </si>
  <si>
    <t>TOTAL TESTS</t>
  </si>
  <si>
    <t>PASSED</t>
  </si>
  <si>
    <t>FAILED</t>
  </si>
  <si>
    <t>EXECUTION PROGRESS</t>
  </si>
  <si>
    <t>Testing Type</t>
  </si>
  <si>
    <t>Manual Testing</t>
  </si>
  <si>
    <t>Objective</t>
  </si>
  <si>
    <t>Verify that Justdial local-search features work as expected</t>
  </si>
  <si>
    <t>BLOCKED</t>
  </si>
  <si>
    <t>NOT EXECUTED</t>
  </si>
  <si>
    <t>PASS RATE</t>
  </si>
  <si>
    <t>STATUS</t>
  </si>
  <si>
    <t>Scope</t>
  </si>
  <si>
    <t>Login, Category &amp; Location Search, Business Listing, Enquiry/Quote, Reviews, Map</t>
  </si>
  <si>
    <t>Testing Approach</t>
  </si>
  <si>
    <t>Functional, UI, Positive &amp; Negative Testing</t>
  </si>
  <si>
    <t>Browser</t>
  </si>
  <si>
    <t>Google Chrome</t>
  </si>
  <si>
    <t>Device</t>
  </si>
  <si>
    <t>Laptop/Desktop</t>
  </si>
  <si>
    <t>Test Data</t>
  </si>
  <si>
    <t>Valid and Invalid Inputs</t>
  </si>
  <si>
    <t>Tester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</si>
  <si>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</si>
  <si>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</si>
  <si>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</si>
  <si>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</si>
  <si>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</si>
  <si>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</si>
  <si>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</si>
  <si>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</si>
  <si>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Login</t>
  </si>
  <si>
    <t>Verify login/signup via mobile number and OTP</t>
  </si>
  <si>
    <t>Click Login → Enter 10-digit mobile number → Click Get OTP → Enter received OTP → Submit</t>
  </si>
  <si>
    <t>Valid mobile number + OTP</t>
  </si>
  <si>
    <t>User account should be created/logged in and name shown in header</t>
  </si>
  <si>
    <t>Done as expected</t>
  </si>
  <si>
    <t>Passed</t>
  </si>
  <si>
    <t>TC002</t>
  </si>
  <si>
    <t>Login with invalid/expired OTP</t>
  </si>
  <si>
    <t>Click Login → Enter mobile number → Get OTP → Enter incorrect OTP → Submit</t>
  </si>
  <si>
    <t>Invalid OTP</t>
  </si>
  <si>
    <t>Error message "Invalid OTP, please try again" should appear</t>
  </si>
  <si>
    <t>TC003</t>
  </si>
  <si>
    <t>Search</t>
  </si>
  <si>
    <t>Search for a business by category and city</t>
  </si>
  <si>
    <t>Enter search term in "What are you looking for" → Enter/confirm city in location field → Click Search</t>
  </si>
  <si>
    <t>Plumbers, Chennai</t>
  </si>
  <si>
    <t>List of relevant plumber listings in Chennai should be displayed with ratings</t>
  </si>
  <si>
    <t>TC004</t>
  </si>
  <si>
    <t>Search with blank keyword field</t>
  </si>
  <si>
    <t>Leave "What are you looking for" field empty → Click Search</t>
  </si>
  <si>
    <t>Empty keyword</t>
  </si>
  <si>
    <t>System should prompt user to enter a search term / show validation message</t>
  </si>
  <si>
    <t>Other result observed</t>
  </si>
  <si>
    <t>TC005</t>
  </si>
  <si>
    <t>Change city/location and re-search</t>
  </si>
  <si>
    <t>On results page → Click location dropdown → Select a different city → Re-run search</t>
  </si>
  <si>
    <t>Mumbai</t>
  </si>
  <si>
    <t>Results should refresh to show listings for the newly selected city</t>
  </si>
  <si>
    <t>TC006</t>
  </si>
  <si>
    <t>Filters</t>
  </si>
  <si>
    <t>Filter and sort search results by rating</t>
  </si>
  <si>
    <t>On results page → Open Filters panel → Select "Rating: 4★ &amp; above" → Apply</t>
  </si>
  <si>
    <t>4★ &amp; above filter</t>
  </si>
  <si>
    <t>Only listings rated 4 stars and above should be displayed</t>
  </si>
  <si>
    <t>TC007</t>
  </si>
  <si>
    <t>Business Listing</t>
  </si>
  <si>
    <t>Open a business listing detail page</t>
  </si>
  <si>
    <t>From results list → Click on a business name/card</t>
  </si>
  <si>
    <t>Any listed business</t>
  </si>
  <si>
    <t>Listing page should open showing photos, address, timings, ratings &amp; contact options</t>
  </si>
  <si>
    <t>TC008</t>
  </si>
  <si>
    <t>Contact</t>
  </si>
  <si>
    <t>Click-to-call a business from its listing</t>
  </si>
  <si>
    <t>Open a business listing → Click "Call Now" button</t>
  </si>
  <si>
    <t>Listing with verified phone number</t>
  </si>
  <si>
    <t>Masked/actual contact number should be revealed or dialer should trigger call</t>
  </si>
  <si>
    <t>TC009</t>
  </si>
  <si>
    <t>Enquiry</t>
  </si>
  <si>
    <t>Submit "Get Best Deal" / request a quote</t>
  </si>
  <si>
    <t>Open a business listing → Click "Get Best Deal" → Fill requirement details → Submit</t>
  </si>
  <si>
    <t>Sample requirement text</t>
  </si>
  <si>
    <t>Enquiry should be submitted and confirmation message displayed to user</t>
  </si>
  <si>
    <t>TC010</t>
  </si>
  <si>
    <t>Reviews</t>
  </si>
  <si>
    <t>Post a rating and review for a business</t>
  </si>
  <si>
    <t>Open a business listing → Click "Write a Review" → Select star rating → Enter review text → Submit</t>
  </si>
  <si>
    <t>Rating: 4★, sample comment</t>
  </si>
  <si>
    <t>Review should be posted and reflected in the listing's review section</t>
  </si>
  <si>
    <t>TEST PLAN DOCUMENT</t>
  </si>
  <si>
    <t>[Application / Project Name]</t>
  </si>
  <si>
    <t>Manual &amp; Functional Testing</t>
  </si>
  <si>
    <t>Verify that target features work as expected according to product specifications</t>
  </si>
  <si>
    <t>[Module 1, Module 2, Module 3, Workflow flows]</t>
  </si>
  <si>
    <t>Google Chrome / Multi-browser</t>
  </si>
  <si>
    <t>Laptop / Desktop / Mobile</t>
  </si>
  <si>
    <t>Valid and Invalid Inputs, Mock Data</t>
  </si>
  <si>
    <t>Authentication</t>
  </si>
  <si>
    <t>Verify user login with valid credentials</t>
  </si>
  <si>
    <t>1. Navigate to Login → 2. Enter valid email/password → 3. Click Submit</t>
  </si>
  <si>
    <t>Valid credentials</t>
  </si>
  <si>
    <t>User should be authenticated and redirected to dashboard</t>
  </si>
  <si>
    <t>Verify error messaging for invalid password</t>
  </si>
  <si>
    <t>1. Open Login → 2. Enter valid email &amp; wrong password → 3. Click Submit</t>
  </si>
  <si>
    <t>Wrong password</t>
  </si>
  <si>
    <t>Appropriate 'Invalid credentials' error message should appear</t>
  </si>
  <si>
    <t>Pending</t>
  </si>
  <si>
    <t>Not Executed</t>
  </si>
  <si>
    <t>Search &amp; Filter</t>
  </si>
  <si>
    <t>Search for an active product by keyword</t>
  </si>
  <si>
    <t>1. Click search bar → 2. Enter keyword → 3. Click Search</t>
  </si>
  <si>
    <t>Laptop</t>
  </si>
  <si>
    <t>Relevant matching products should display with valid pricing</t>
  </si>
  <si>
    <t>Issue observed</t>
  </si>
  <si>
    <t>Failed</t>
  </si>
  <si>
    <t>Search with empty / blank input</t>
  </si>
  <si>
    <t>1. Focus search bar → 2. Leave blank → 3. Click Search</t>
  </si>
  <si>
    <t>Empty</t>
  </si>
  <si>
    <t>System maintains current view or shows search prompt</t>
  </si>
  <si>
    <t>Product Details</t>
  </si>
  <si>
    <t>Open product specifications page</t>
  </si>
  <si>
    <t>1. Search product → 2. Click on product card</t>
  </si>
  <si>
    <t>Product SKU</t>
  </si>
  <si>
    <t>Product details, image gallery, and price should load</t>
  </si>
  <si>
    <t>Cart &amp; Checkout</t>
  </si>
  <si>
    <t>Add in-stock item to cart</t>
  </si>
  <si>
    <t>1. Open product view → 2. Click 'Add to Cart'</t>
  </si>
  <si>
    <t>In-stock item</t>
  </si>
  <si>
    <t>Item added successfully; cart badge count increments by 1</t>
  </si>
  <si>
    <t>Remove item from cart</t>
  </si>
  <si>
    <t>1. Open Cart view → 2. Click 'Remove' on item → 3. Confirm</t>
  </si>
  <si>
    <t>Cart with 1 item</t>
  </si>
  <si>
    <t>Item removed from cart and cart subtotal updates to zero</t>
  </si>
  <si>
    <t>Wishlist</t>
  </si>
  <si>
    <t>Add item to user wishlist</t>
  </si>
  <si>
    <t>1. Open product details → 2. Click 'Add to Wishlist'</t>
  </si>
  <si>
    <t>Available product</t>
  </si>
  <si>
    <t>Item added to user wishlist and heart icon toggles active</t>
  </si>
  <si>
    <t>Form Validation</t>
  </si>
  <si>
    <t>Verify mandatory field validation on checkout</t>
  </si>
  <si>
    <t>1. Go to checkout → 2. Leave address blank → 3. Click Continue</t>
  </si>
  <si>
    <t>Empty address</t>
  </si>
  <si>
    <t>Inline error warning alerts user to complete required fields</t>
  </si>
  <si>
    <t>Navigation</t>
  </si>
  <si>
    <t>Verify responsive footer documentation links</t>
  </si>
  <si>
    <t>1. Scroll to footer → 2. Click 'Help Center / Terms'</t>
  </si>
  <si>
    <t>N/A</t>
  </si>
  <si>
    <t>Target documentation page opens in new tab with valid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</si>
</sst>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7">
    <font>
      <sz val="10"/>
      <color rgb="FF000000"/>
      <name val="Arial"/>
      <charset val="1"/>
    </font>
    <font>
      <sz val="10"/>
      <color rgb="FF000000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1A1B1F"/>
      <name val="Calibri"/>
      <charset val="1"/>
    </font>
    <font>
      <sz val="10"/>
      <color rgb="FF1A1B1F"/>
      <name val="Calibri"/>
      <charset val="1"/>
    </font>
    <font>
      <b/>
      <sz val="9"/>
      <color rgb="FFB45309"/>
      <name val="Calibri"/>
      <charset val="1"/>
    </font>
    <font>
      <b/>
      <sz val="16"/>
      <color rgb="FF1E3989"/>
      <name val="Calibri"/>
      <charset val="1"/>
    </font>
    <font>
      <b/>
      <sz val="16"/>
      <color rgb="FF059569"/>
      <name val="Calibri"/>
      <charset val="1"/>
    </font>
    <font>
      <b/>
      <sz val="16"/>
      <color rgb="FFDC2525"/>
      <name val="Calibri"/>
      <charset val="1"/>
    </font>
    <font>
      <b/>
      <sz val="16"/>
      <color rgb="FF2462EB"/>
      <name val="Calibri"/>
      <charset val="1"/>
    </font>
    <font>
      <b/>
      <sz val="14"/>
      <color rgb="FFD97706"/>
      <name val="Calibri"/>
      <charset val="1"/>
    </font>
    <font>
      <b/>
      <sz val="14"/>
      <color rgb="FF63748A"/>
      <name val="Calibri"/>
      <charset val="1"/>
    </font>
    <font>
      <b/>
      <sz val="14"/>
      <color rgb="FF0D9387"/>
      <name val="Calibri"/>
      <charset val="1"/>
    </font>
    <font>
      <b/>
      <sz val="11"/>
      <color rgb="FF4338C9"/>
      <name val="Calibri"/>
      <charset val="1"/>
    </font>
    <font>
      <sz val="9"/>
      <color rgb="FF1A1B1F"/>
      <name val="Calibri"/>
      <charset val="1"/>
    </font>
    <font>
      <b/>
      <sz val="9"/>
      <color rgb="FF0A5E28"/>
      <name val="Calibri"/>
      <charset val="1"/>
    </font>
    <font>
      <b/>
      <sz val="9"/>
      <color rgb="FFC5211F"/>
      <name val="Calibri"/>
      <charset val="1"/>
    </font>
    <font>
      <b/>
      <sz val="9"/>
      <color rgb="FF92400E"/>
      <name val="Calibri"/>
      <charset val="1"/>
    </font>
    <font>
      <b/>
      <sz val="9"/>
      <color rgb="FF465369"/>
      <name val="Calibri"/>
      <charset val="1"/>
    </font>
    <font>
      <i/>
      <sz val="9"/>
      <color rgb="FF465369"/>
      <name val="Calibri"/>
      <charset val="1"/>
    </font>
    <font>
      <b/>
      <sz val="10"/>
      <color rgb="FF1E3989"/>
      <name val="Calibri"/>
      <charset val="1"/>
    </font>
    <font>
      <b/>
      <sz val="10"/>
      <color theme="1"/>
      <name val="Calibri"/>
      <charset val="1"/>
    </font>
    <font>
      <sz val="10"/>
      <color rgb="FF1F2937"/>
      <name val="Calibri"/>
      <charset val="1"/>
    </font>
    <font>
      <sz val="10"/>
      <name val="Arial"/>
      <family val="2"/>
    </font>
    <font>
      <b/>
      <sz val="12"/>
      <color rgb="FFFFFFFF"/>
      <name val="Google Sans"/>
      <charset val="1"/>
    </font>
    <font>
      <b/>
      <sz val="10"/>
      <color rgb="FFFFFFFF"/>
      <name val="Google Sans"/>
      <charset val="1"/>
    </font>
    <font>
      <b/>
      <sz val="10"/>
      <color rgb="FF1E293A"/>
      <name val="Google Sans"/>
      <charset val="1"/>
    </font>
    <font>
      <sz val="10"/>
      <color rgb="FF1E293A"/>
      <name val="Google Sans"/>
      <charset val="1"/>
    </font>
    <font>
      <b/>
      <sz val="9"/>
      <color rgb="FF465469"/>
      <name val="Google Sans"/>
      <charset val="1"/>
    </font>
    <font>
      <b/>
      <sz val="16"/>
      <color rgb="FF1D3A8A"/>
      <name val="Google Sans"/>
      <charset val="1"/>
    </font>
    <font>
      <b/>
      <sz val="16"/>
      <color rgb="FF15A249"/>
      <name val="Google Sans"/>
      <charset val="1"/>
    </font>
    <font>
      <b/>
      <sz val="16"/>
      <color rgb="FFDC2525"/>
      <name val="Google Sans"/>
      <charset val="1"/>
    </font>
    <font>
      <b/>
      <sz val="16"/>
      <color rgb="FF2462EB"/>
      <name val="Google Sans"/>
      <charset val="1"/>
    </font>
    <font>
      <b/>
      <sz val="16"/>
      <color rgb="FFD97706"/>
      <name val="Google Sans"/>
      <charset val="1"/>
    </font>
    <font>
      <b/>
      <sz val="16"/>
      <color rgb="FF63748A"/>
      <name val="Google Sans"/>
      <charset val="1"/>
    </font>
    <font>
      <b/>
      <sz val="11"/>
      <color rgb="FF2462EB"/>
      <name val="Google Sans"/>
      <charset val="1"/>
    </font>
    <font>
      <sz val="11"/>
      <color theme="1"/>
      <name val="Google Sans"/>
      <charset val="1"/>
    </font>
    <font>
      <b/>
      <sz val="9"/>
      <color rgb="FF1E293A"/>
      <name val="Google Sans"/>
      <charset val="1"/>
    </font>
    <font>
      <b/>
      <sz val="9"/>
      <color rgb="FF156434"/>
      <name val="Google Sans"/>
      <charset val="1"/>
    </font>
    <font>
      <sz val="9"/>
      <color rgb="FF334154"/>
      <name val="Google Sans"/>
      <charset val="1"/>
    </font>
    <font>
      <b/>
      <sz val="9"/>
      <color rgb="FF991B1B"/>
      <name val="Google Sans"/>
      <charset val="1"/>
    </font>
    <font>
      <b/>
      <sz val="9"/>
      <color rgb="FF92400E"/>
      <name val="Google Sans"/>
      <charset val="1"/>
    </font>
    <font>
      <i/>
      <sz val="9"/>
      <color rgb="FF63748A"/>
      <name val="Google Sans"/>
      <charset val="1"/>
    </font>
    <font>
      <b/>
      <sz val="10"/>
      <color rgb="FF1D3A8A"/>
      <name val="Google Sans"/>
      <charset val="1"/>
    </font>
    <font>
      <sz val="9"/>
      <color rgb="FF465469"/>
      <name val="Google Sans"/>
      <charset val="1"/>
    </font>
  </fonts>
  <fills count="10">
    <fill>
      <patternFill patternType="none"/>
    </fill>
    <fill>
      <patternFill patternType="gray125"/>
    </fill>
    <fill>
      <patternFill patternType="solid">
        <fgColor rgb="FF0F6B5C"/>
        <bgColor rgb="FF156434"/>
      </patternFill>
    </fill>
    <fill>
      <patternFill patternType="solid">
        <fgColor rgb="FF0B5548"/>
        <bgColor rgb="FF0A5E28"/>
      </patternFill>
    </fill>
    <fill>
      <patternFill patternType="solid">
        <fgColor rgb="FFE8F5F1"/>
        <bgColor rgb="FFF0F5F8"/>
      </patternFill>
    </fill>
    <fill>
      <patternFill patternType="solid">
        <fgColor rgb="FFFFFFFF"/>
        <bgColor rgb="FFF6FAF8"/>
      </patternFill>
    </fill>
    <fill>
      <patternFill patternType="solid">
        <fgColor rgb="FFFDF3E7"/>
        <bgColor rgb="FFF6FAF8"/>
      </patternFill>
    </fill>
    <fill>
      <patternFill patternType="solid">
        <fgColor rgb="FFF6FAF8"/>
        <bgColor rgb="FFF0F5F8"/>
      </patternFill>
    </fill>
    <fill>
      <patternFill patternType="solid">
        <fgColor rgb="FFF0F5F8"/>
        <bgColor rgb="FFE8F5F1"/>
      </patternFill>
    </fill>
    <fill>
      <patternFill patternType="solid">
        <fgColor theme="7" tint="-0.499984740745262"/>
        <bgColor rgb="FF1E3989"/>
      </patternFill>
    </fill>
  </fills>
  <borders count="37">
    <border>
      <left/>
      <right/>
      <top/>
      <bottom/>
      <diagonal/>
    </border>
    <border>
      <left style="medium">
        <color rgb="FF1E3989"/>
      </left>
      <right style="medium">
        <color rgb="FF1E3989"/>
      </right>
      <top style="medium">
        <color rgb="FF1E3989"/>
      </top>
      <bottom style="medium">
        <color rgb="FF1E3989"/>
      </bottom>
      <diagonal/>
    </border>
    <border>
      <left style="medium">
        <color rgb="FF2A4678"/>
      </left>
      <right style="thin">
        <color rgb="FFD8DDEA"/>
      </right>
      <top/>
      <bottom style="thin">
        <color rgb="FFD8DDEA"/>
      </bottom>
      <diagonal/>
    </border>
    <border>
      <left style="thin">
        <color rgb="FFD8DDEA"/>
      </left>
      <right style="medium">
        <color rgb="FF2A4678"/>
      </right>
      <top/>
      <bottom style="thin">
        <color rgb="FFD8DDEA"/>
      </bottom>
      <diagonal/>
    </border>
    <border>
      <left style="medium">
        <color rgb="FF1E3989"/>
      </left>
      <right style="medium">
        <color rgb="FF1E3989"/>
      </right>
      <top style="medium">
        <color rgb="FF1E3989"/>
      </top>
      <bottom style="thin">
        <color rgb="FFD1D8E5"/>
      </bottom>
      <diagonal/>
    </border>
    <border>
      <left style="medium">
        <color rgb="FF2A4678"/>
      </left>
      <right style="thin">
        <color rgb="FFD8DDEA"/>
      </right>
      <top style="thin">
        <color rgb="FFD8DDEA"/>
      </top>
      <bottom style="thin">
        <color rgb="FFD8DDEA"/>
      </bottom>
      <diagonal/>
    </border>
    <border>
      <left style="thin">
        <color rgb="FFD8DDEA"/>
      </left>
      <right style="medium">
        <color rgb="FF2A4678"/>
      </right>
      <top style="thin">
        <color rgb="FFD8DDEA"/>
      </top>
      <bottom style="thin">
        <color rgb="FFD8DDEA"/>
      </bottom>
      <diagonal/>
    </border>
    <border>
      <left style="medium">
        <color rgb="FF1E3989"/>
      </left>
      <right style="thin">
        <color rgb="FFD1D8E5"/>
      </right>
      <top style="thin">
        <color rgb="FFD1D8E5"/>
      </top>
      <bottom style="thin">
        <color rgb="FFD1D8E5"/>
      </bottom>
      <diagonal/>
    </border>
    <border>
      <left style="thin">
        <color rgb="FFD1D8E5"/>
      </left>
      <right style="thin">
        <color rgb="FFD1D8E5"/>
      </right>
      <top style="thin">
        <color rgb="FFD1D8E5"/>
      </top>
      <bottom style="thin">
        <color rgb="FFD1D8E5"/>
      </bottom>
      <diagonal/>
    </border>
    <border>
      <left style="thin">
        <color rgb="FFD1D8E5"/>
      </left>
      <right style="medium">
        <color rgb="FF1E3989"/>
      </right>
      <top style="thin">
        <color rgb="FFD1D8E5"/>
      </top>
      <bottom style="thin">
        <color rgb="FFD1D8E5"/>
      </bottom>
      <diagonal/>
    </border>
    <border>
      <left style="medium">
        <color rgb="FF1E3989"/>
      </left>
      <right style="thin">
        <color rgb="FFD1D8E5"/>
      </right>
      <top style="thin">
        <color rgb="FFD1D8E5"/>
      </top>
      <bottom style="medium">
        <color rgb="FF1E3989"/>
      </bottom>
      <diagonal/>
    </border>
    <border>
      <left style="thin">
        <color rgb="FFD1D8E5"/>
      </left>
      <right style="thin">
        <color rgb="FFD1D8E5"/>
      </right>
      <top style="thin">
        <color rgb="FFD1D8E5"/>
      </top>
      <bottom style="medium">
        <color rgb="FF1E3989"/>
      </bottom>
      <diagonal/>
    </border>
    <border>
      <left style="thin">
        <color rgb="FFD1D8E5"/>
      </left>
      <right style="medium">
        <color rgb="FF1E3989"/>
      </right>
      <top style="thin">
        <color rgb="FFD1D8E5"/>
      </top>
      <bottom style="medium">
        <color rgb="FF1E3989"/>
      </bottom>
      <diagonal/>
    </border>
    <border>
      <left style="medium">
        <color rgb="FF2A4678"/>
      </left>
      <right style="thin">
        <color rgb="FFD8DDEA"/>
      </right>
      <top style="thin">
        <color rgb="FFD8DDEA"/>
      </top>
      <bottom style="medium">
        <color rgb="FF2A4678"/>
      </bottom>
      <diagonal/>
    </border>
    <border>
      <left style="thin">
        <color rgb="FFD8DDEA"/>
      </left>
      <right style="medium">
        <color rgb="FF2A4678"/>
      </right>
      <top style="thin">
        <color rgb="FFD8DDEA"/>
      </top>
      <bottom style="medium">
        <color rgb="FF2A4678"/>
      </bottom>
      <diagonal/>
    </border>
    <border>
      <left style="medium">
        <color rgb="FF1E3989"/>
      </left>
      <right style="thin">
        <color rgb="FFE1E8EF"/>
      </right>
      <top style="medium">
        <color rgb="FF1E3989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medium">
        <color rgb="FF1E3989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/>
      <bottom style="thin">
        <color rgb="FFE1E8EF"/>
      </bottom>
      <diagonal/>
    </border>
    <border>
      <left style="thin">
        <color rgb="FFE1E8EF"/>
      </left>
      <right style="medium">
        <color rgb="FF1E3989"/>
      </right>
      <top/>
      <bottom style="thin">
        <color rgb="FFE1E8EF"/>
      </bottom>
      <diagonal/>
    </border>
    <border>
      <left style="medium">
        <color rgb="FF1E3989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medium">
        <color rgb="FF1E3989"/>
      </right>
      <top style="thin">
        <color rgb="FFE1E8EF"/>
      </top>
      <bottom style="thin">
        <color rgb="FFE1E8EF"/>
      </bottom>
      <diagonal/>
    </border>
    <border>
      <left style="medium">
        <color rgb="FF1E3989"/>
      </left>
      <right style="thin">
        <color rgb="FFE1E8EF"/>
      </right>
      <top style="thin">
        <color rgb="FFE1E8EF"/>
      </top>
      <bottom style="medium">
        <color rgb="FF1E3989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E3989"/>
      </bottom>
      <diagonal/>
    </border>
    <border>
      <left style="thin">
        <color rgb="FFE1E8EF"/>
      </left>
      <right style="medium">
        <color rgb="FF1E3989"/>
      </right>
      <top style="thin">
        <color rgb="FFE1E8EF"/>
      </top>
      <bottom style="medium">
        <color rgb="FF1E3989"/>
      </bottom>
      <diagonal/>
    </border>
    <border>
      <left style="medium">
        <color rgb="FF1E3989"/>
      </left>
      <right style="medium">
        <color rgb="FF1E3989"/>
      </right>
      <top style="medium">
        <color rgb="FF1E3989"/>
      </top>
      <bottom/>
      <diagonal/>
    </border>
    <border>
      <left style="thin">
        <color rgb="FFCAD4E0"/>
      </left>
      <right style="thin">
        <color rgb="FFE1E8EF"/>
      </right>
      <top style="thin">
        <color rgb="FF1D3A8A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 style="thin">
        <color rgb="FF1D3A8A"/>
      </top>
      <bottom style="thin">
        <color rgb="FFE1E8EF"/>
      </bottom>
      <diagonal/>
    </border>
    <border>
      <left style="thin">
        <color rgb="FFCAD4E0"/>
      </left>
      <right style="thin">
        <color rgb="FFCAD4E0"/>
      </right>
      <top style="thin">
        <color rgb="FF1D3A8A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CAD4E0"/>
      </bottom>
      <diagonal/>
    </border>
    <border>
      <left style="thin">
        <color rgb="FFCAD4E0"/>
      </left>
      <right style="thin">
        <color rgb="FFE1E8EF"/>
      </right>
      <top style="medium">
        <color rgb="FF1D3A8A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medium">
        <color rgb="FF1D3A8A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/>
      <bottom style="thin">
        <color rgb="FFE1E8EF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3" fontId="8" fillId="5" borderId="7" xfId="0" applyNumberFormat="1" applyFont="1" applyFill="1" applyBorder="1" applyAlignment="1">
      <alignment horizontal="center" vertical="center"/>
    </xf>
    <xf numFmtId="3" fontId="9" fillId="5" borderId="8" xfId="0" applyNumberFormat="1" applyFont="1" applyFill="1" applyBorder="1" applyAlignment="1">
      <alignment horizontal="center" vertical="center"/>
    </xf>
    <xf numFmtId="3" fontId="10" fillId="5" borderId="8" xfId="0" applyNumberFormat="1" applyFont="1" applyFill="1" applyBorder="1" applyAlignment="1">
      <alignment horizontal="center" vertical="center"/>
    </xf>
    <xf numFmtId="164" fontId="11" fillId="5" borderId="9" xfId="0" applyNumberFormat="1" applyFont="1" applyFill="1" applyBorder="1" applyAlignment="1">
      <alignment horizontal="center" vertical="center"/>
    </xf>
    <xf numFmtId="3" fontId="12" fillId="5" borderId="10" xfId="0" applyNumberFormat="1" applyFont="1" applyFill="1" applyBorder="1" applyAlignment="1">
      <alignment horizontal="center" vertical="center"/>
    </xf>
    <xf numFmtId="3" fontId="13" fillId="5" borderId="11" xfId="0" applyNumberFormat="1" applyFont="1" applyFill="1" applyBorder="1" applyAlignment="1">
      <alignment horizontal="center" vertical="center"/>
    </xf>
    <xf numFmtId="164" fontId="14" fillId="5" borderId="11" xfId="0" applyNumberFormat="1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5" fillId="4" borderId="13" xfId="0" applyFont="1" applyFill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22" fillId="5" borderId="19" xfId="0" applyFont="1" applyFill="1" applyBorder="1" applyAlignment="1">
      <alignment horizontal="center" vertical="center" wrapText="1"/>
    </xf>
    <xf numFmtId="0" fontId="23" fillId="5" borderId="20" xfId="0" applyFont="1" applyFill="1" applyBorder="1" applyAlignment="1">
      <alignment horizontal="left" vertical="center" wrapText="1"/>
    </xf>
    <xf numFmtId="0" fontId="24" fillId="5" borderId="20" xfId="0" applyFont="1" applyFill="1" applyBorder="1" applyAlignment="1">
      <alignment horizontal="left" vertical="center" wrapText="1"/>
    </xf>
    <xf numFmtId="0" fontId="24" fillId="5" borderId="20" xfId="0" applyFont="1" applyFill="1" applyBorder="1" applyAlignment="1">
      <alignment horizontal="center" vertical="center" wrapText="1"/>
    </xf>
    <xf numFmtId="0" fontId="24" fillId="5" borderId="21" xfId="0" applyFont="1" applyFill="1" applyBorder="1" applyAlignment="1">
      <alignment horizontal="center" vertical="center" wrapText="1"/>
    </xf>
    <xf numFmtId="0" fontId="22" fillId="7" borderId="19" xfId="0" applyFont="1" applyFill="1" applyBorder="1" applyAlignment="1">
      <alignment horizontal="center" vertical="center" wrapText="1"/>
    </xf>
    <xf numFmtId="0" fontId="23" fillId="7" borderId="20" xfId="0" applyFont="1" applyFill="1" applyBorder="1" applyAlignment="1">
      <alignment horizontal="left" vertical="center" wrapText="1"/>
    </xf>
    <xf numFmtId="0" fontId="24" fillId="7" borderId="20" xfId="0" applyFont="1" applyFill="1" applyBorder="1" applyAlignment="1">
      <alignment horizontal="left" vertical="center" wrapText="1"/>
    </xf>
    <xf numFmtId="0" fontId="24" fillId="7" borderId="20" xfId="0" applyFont="1" applyFill="1" applyBorder="1" applyAlignment="1">
      <alignment horizontal="center" vertical="center" wrapText="1"/>
    </xf>
    <xf numFmtId="0" fontId="24" fillId="7" borderId="21" xfId="0" applyFont="1" applyFill="1" applyBorder="1" applyAlignment="1">
      <alignment horizontal="center" vertical="center" wrapText="1"/>
    </xf>
    <xf numFmtId="0" fontId="22" fillId="7" borderId="22" xfId="0" applyFont="1" applyFill="1" applyBorder="1" applyAlignment="1">
      <alignment horizontal="center" vertical="center" wrapText="1"/>
    </xf>
    <xf numFmtId="0" fontId="23" fillId="7" borderId="23" xfId="0" applyFont="1" applyFill="1" applyBorder="1" applyAlignment="1">
      <alignment horizontal="left" vertical="center" wrapText="1"/>
    </xf>
    <xf numFmtId="0" fontId="24" fillId="7" borderId="23" xfId="0" applyFont="1" applyFill="1" applyBorder="1" applyAlignment="1">
      <alignment horizontal="left" vertical="center" wrapText="1"/>
    </xf>
    <xf numFmtId="0" fontId="24" fillId="7" borderId="23" xfId="0" applyFont="1" applyFill="1" applyBorder="1" applyAlignment="1">
      <alignment horizontal="center" vertical="center" wrapText="1"/>
    </xf>
    <xf numFmtId="0" fontId="24" fillId="7" borderId="24" xfId="0" applyFont="1" applyFill="1" applyBorder="1" applyAlignment="1">
      <alignment horizontal="center" vertical="center" wrapText="1"/>
    </xf>
    <xf numFmtId="0" fontId="28" fillId="8" borderId="29" xfId="0" applyFont="1" applyFill="1" applyBorder="1" applyAlignment="1">
      <alignment horizontal="left" vertical="center"/>
    </xf>
    <xf numFmtId="0" fontId="30" fillId="8" borderId="29" xfId="0" applyFont="1" applyFill="1" applyBorder="1" applyAlignment="1">
      <alignment horizontal="center" vertical="center"/>
    </xf>
    <xf numFmtId="0" fontId="30" fillId="8" borderId="20" xfId="0" applyFont="1" applyFill="1" applyBorder="1" applyAlignment="1">
      <alignment horizontal="center" vertical="center"/>
    </xf>
    <xf numFmtId="0" fontId="30" fillId="8" borderId="30" xfId="0" applyFont="1" applyFill="1" applyBorder="1" applyAlignment="1">
      <alignment horizontal="center" vertical="center"/>
    </xf>
    <xf numFmtId="3" fontId="31" fillId="5" borderId="29" xfId="0" applyNumberFormat="1" applyFont="1" applyFill="1" applyBorder="1" applyAlignment="1">
      <alignment horizontal="center" vertical="center"/>
    </xf>
    <xf numFmtId="3" fontId="32" fillId="5" borderId="20" xfId="0" applyNumberFormat="1" applyFont="1" applyFill="1" applyBorder="1" applyAlignment="1">
      <alignment horizontal="center" vertical="center"/>
    </xf>
    <xf numFmtId="3" fontId="33" fillId="5" borderId="20" xfId="0" applyNumberFormat="1" applyFont="1" applyFill="1" applyBorder="1" applyAlignment="1">
      <alignment horizontal="center" vertical="center"/>
    </xf>
    <xf numFmtId="164" fontId="34" fillId="5" borderId="30" xfId="0" applyNumberFormat="1" applyFont="1" applyFill="1" applyBorder="1" applyAlignment="1">
      <alignment horizontal="center" vertical="center"/>
    </xf>
    <xf numFmtId="3" fontId="35" fillId="5" borderId="31" xfId="0" applyNumberFormat="1" applyFont="1" applyFill="1" applyBorder="1" applyAlignment="1">
      <alignment horizontal="center" vertical="center"/>
    </xf>
    <xf numFmtId="3" fontId="36" fillId="5" borderId="32" xfId="0" applyNumberFormat="1" applyFont="1" applyFill="1" applyBorder="1" applyAlignment="1">
      <alignment horizontal="center" vertical="center"/>
    </xf>
    <xf numFmtId="164" fontId="32" fillId="5" borderId="32" xfId="0" applyNumberFormat="1" applyFont="1" applyFill="1" applyBorder="1" applyAlignment="1">
      <alignment horizontal="center" vertical="center"/>
    </xf>
    <xf numFmtId="0" fontId="37" fillId="5" borderId="33" xfId="0" applyFont="1" applyFill="1" applyBorder="1" applyAlignment="1">
      <alignment horizontal="center" vertical="center"/>
    </xf>
    <xf numFmtId="0" fontId="38" fillId="5" borderId="0" xfId="0" applyFont="1" applyFill="1"/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28" fillId="8" borderId="31" xfId="0" applyFont="1" applyFill="1" applyBorder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8" fillId="0" borderId="0" xfId="0" applyFont="1"/>
    <xf numFmtId="0" fontId="45" fillId="0" borderId="29" xfId="0" applyFont="1" applyBorder="1" applyAlignment="1">
      <alignment horizontal="center" vertical="center"/>
    </xf>
    <xf numFmtId="0" fontId="28" fillId="0" borderId="20" xfId="0" applyFont="1" applyBorder="1" applyAlignment="1">
      <alignment horizontal="left" vertical="center"/>
    </xf>
    <xf numFmtId="0" fontId="29" fillId="0" borderId="20" xfId="0" applyFont="1" applyBorder="1" applyAlignment="1">
      <alignment horizontal="left" vertical="center" wrapText="1"/>
    </xf>
    <xf numFmtId="0" fontId="41" fillId="0" borderId="20" xfId="0" applyFont="1" applyBorder="1" applyAlignment="1">
      <alignment horizontal="left" vertical="center" wrapText="1"/>
    </xf>
    <xf numFmtId="0" fontId="46" fillId="0" borderId="20" xfId="0" applyFont="1" applyBorder="1" applyAlignment="1">
      <alignment horizontal="left" vertical="center" wrapText="1"/>
    </xf>
    <xf numFmtId="0" fontId="38" fillId="0" borderId="20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45" fillId="0" borderId="31" xfId="0" applyFont="1" applyBorder="1" applyAlignment="1">
      <alignment horizontal="center" vertical="center"/>
    </xf>
    <xf numFmtId="0" fontId="28" fillId="0" borderId="32" xfId="0" applyFont="1" applyBorder="1" applyAlignment="1">
      <alignment horizontal="left" vertical="center"/>
    </xf>
    <xf numFmtId="0" fontId="29" fillId="0" borderId="32" xfId="0" applyFont="1" applyBorder="1" applyAlignment="1">
      <alignment horizontal="left" vertical="center" wrapText="1"/>
    </xf>
    <xf numFmtId="0" fontId="41" fillId="0" borderId="32" xfId="0" applyFont="1" applyBorder="1" applyAlignment="1">
      <alignment horizontal="left" vertical="center" wrapText="1"/>
    </xf>
    <xf numFmtId="0" fontId="46" fillId="0" borderId="32" xfId="0" applyFont="1" applyBorder="1" applyAlignment="1">
      <alignment horizontal="left" vertical="center" wrapText="1"/>
    </xf>
    <xf numFmtId="0" fontId="38" fillId="0" borderId="32" xfId="0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9" fillId="5" borderId="30" xfId="0" applyFont="1" applyFill="1" applyBorder="1" applyAlignment="1">
      <alignment horizontal="left" vertical="center" wrapText="1"/>
    </xf>
    <xf numFmtId="0" fontId="39" fillId="0" borderId="0" xfId="0" applyFont="1" applyAlignment="1">
      <alignment horizontal="center" vertical="center"/>
    </xf>
    <xf numFmtId="0" fontId="29" fillId="5" borderId="33" xfId="0" applyFont="1" applyFill="1" applyBorder="1" applyAlignment="1">
      <alignment horizontal="left" vertical="center" wrapText="1"/>
    </xf>
    <xf numFmtId="0" fontId="44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9" borderId="25" xfId="0" applyFont="1" applyFill="1" applyBorder="1" applyAlignment="1">
      <alignment horizontal="center" vertical="center"/>
    </xf>
    <xf numFmtId="0" fontId="27" fillId="9" borderId="27" xfId="0" applyFont="1" applyFill="1" applyBorder="1" applyAlignment="1">
      <alignment horizontal="left" vertical="center"/>
    </xf>
    <xf numFmtId="0" fontId="27" fillId="9" borderId="26" xfId="0" applyFont="1" applyFill="1" applyBorder="1" applyAlignment="1">
      <alignment horizontal="left" vertical="center"/>
    </xf>
    <xf numFmtId="0" fontId="27" fillId="9" borderId="28" xfId="0" applyFont="1" applyFill="1" applyBorder="1" applyAlignment="1">
      <alignment horizontal="center" vertical="center"/>
    </xf>
    <xf numFmtId="0" fontId="27" fillId="9" borderId="34" xfId="0" applyFont="1" applyFill="1" applyBorder="1" applyAlignment="1">
      <alignment horizontal="center" vertical="center"/>
    </xf>
    <xf numFmtId="0" fontId="27" fillId="9" borderId="35" xfId="0" applyFont="1" applyFill="1" applyBorder="1" applyAlignment="1">
      <alignment horizontal="left" vertical="center"/>
    </xf>
    <xf numFmtId="0" fontId="27" fillId="9" borderId="17" xfId="0" applyFont="1" applyFill="1" applyBorder="1" applyAlignment="1">
      <alignment horizontal="left" vertical="center"/>
    </xf>
    <xf numFmtId="0" fontId="27" fillId="9" borderId="17" xfId="0" applyFont="1" applyFill="1" applyBorder="1" applyAlignment="1">
      <alignment horizontal="center" vertical="center"/>
    </xf>
    <xf numFmtId="0" fontId="27" fillId="9" borderId="36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1E3989"/>
          <bgColor theme="7" tint="-0.49998474074526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C2525"/>
      <rgbColor rgb="FF00FF00"/>
      <rgbColor rgb="FF0B5548"/>
      <rgbColor rgb="FFFFFF00"/>
      <rgbColor rgb="FFFF00FF"/>
      <rgbColor rgb="FF00FFFF"/>
      <rgbColor rgb="FF991B1B"/>
      <rgbColor rgb="FF0A5E28"/>
      <rgbColor rgb="FF2A4678"/>
      <rgbColor rgb="FF465369"/>
      <rgbColor rgb="FF800080"/>
      <rgbColor rgb="FF0D9387"/>
      <rgbColor rgb="FFD1D8E5"/>
      <rgbColor rgb="FF465469"/>
      <rgbColor rgb="FF9999FF"/>
      <rgbColor rgb="FFC5211F"/>
      <rgbColor rgb="FFFDF3E7"/>
      <rgbColor rgb="FFE8F5F1"/>
      <rgbColor rgb="FF4338C9"/>
      <rgbColor rgb="FFFF8080"/>
      <rgbColor rgb="FF0F6B5C"/>
      <rgbColor rgb="FFCAD4E0"/>
      <rgbColor rgb="FF334154"/>
      <rgbColor rgb="FFFF00FF"/>
      <rgbColor rgb="FFFFFF00"/>
      <rgbColor rgb="FF00FFFF"/>
      <rgbColor rgb="FF800080"/>
      <rgbColor rgb="FF800000"/>
      <rgbColor rgb="FF059569"/>
      <rgbColor rgb="FF0000FF"/>
      <rgbColor rgb="FF00CCFF"/>
      <rgbColor rgb="FFF0F5F8"/>
      <rgbColor rgb="FFE1E8EF"/>
      <rgbColor rgb="FFF6FAF8"/>
      <rgbColor rgb="FF99CCFF"/>
      <rgbColor rgb="FFFF99CC"/>
      <rgbColor rgb="FFCC99FF"/>
      <rgbColor rgb="FFD8DDEA"/>
      <rgbColor rgb="FF2462EB"/>
      <rgbColor rgb="FF33CCCC"/>
      <rgbColor rgb="FF99CC00"/>
      <rgbColor rgb="FFFFCC00"/>
      <rgbColor rgb="FFFF9900"/>
      <rgbColor rgb="FFD97706"/>
      <rgbColor rgb="FF63748A"/>
      <rgbColor rgb="FF156434"/>
      <rgbColor rgb="FF1D3A8A"/>
      <rgbColor rgb="FF15A249"/>
      <rgbColor rgb="FF1A1B1F"/>
      <rgbColor rgb="FF1E293A"/>
      <rgbColor rgb="FF92400E"/>
      <rgbColor rgb="FFB45309"/>
      <rgbColor rgb="FF1E398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3:H23" totalsRowShown="0" headerRowDxfId="0">
  <tableColumns count="8">
    <tableColumn id="1" xr3:uid="{00000000-0010-0000-0000-000001000000}" name="Test Case ID"/>
    <tableColumn id="2" xr3:uid="{00000000-0010-0000-0000-000002000000}" name="Module"/>
    <tableColumn id="3" xr3:uid="{00000000-0010-0000-0000-000003000000}" name="Test Scenario"/>
    <tableColumn id="4" xr3:uid="{00000000-0010-0000-0000-000004000000}" name="Test Steps"/>
    <tableColumn id="5" xr3:uid="{00000000-0010-0000-0000-000005000000}" name="Test Data"/>
    <tableColumn id="6" xr3:uid="{00000000-0010-0000-0000-000006000000}" name="Expected Result"/>
    <tableColumn id="7" xr3:uid="{00000000-0010-0000-0000-000007000000}" name="Actual Result"/>
    <tableColumn id="8" xr3:uid="{00000000-0010-0000-0000-000008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="78" zoomScaleNormal="100" workbookViewId="0">
      <selection activeCell="L19" sqref="L19"/>
    </sheetView>
  </sheetViews>
  <sheetFormatPr defaultColWidth="12.6640625" defaultRowHeight="13.2"/>
  <cols>
    <col min="1" max="1" width="13.88671875" customWidth="1"/>
    <col min="2" max="2" width="17.6640625" customWidth="1"/>
    <col min="3" max="3" width="36" customWidth="1"/>
    <col min="4" max="4" width="43.88671875" customWidth="1"/>
    <col min="5" max="5" width="20.109375" customWidth="1"/>
    <col min="6" max="6" width="31.33203125" customWidth="1"/>
    <col min="7" max="7" width="21.33203125" customWidth="1"/>
    <col min="8" max="8" width="22.6640625" customWidth="1"/>
  </cols>
  <sheetData>
    <row r="1" spans="1:8" ht="30" customHeight="1">
      <c r="A1" s="1"/>
      <c r="B1" s="78" t="s">
        <v>0</v>
      </c>
      <c r="C1" s="78"/>
      <c r="D1" s="78"/>
      <c r="E1" s="78"/>
      <c r="F1" s="78"/>
      <c r="G1" s="78"/>
      <c r="H1" s="78"/>
    </row>
    <row r="2" spans="1:8" ht="22.5" customHeight="1">
      <c r="A2" s="1"/>
      <c r="B2" s="2" t="s">
        <v>1</v>
      </c>
      <c r="C2" s="3" t="s">
        <v>2</v>
      </c>
      <c r="D2" s="1"/>
      <c r="E2" s="79" t="s">
        <v>3</v>
      </c>
      <c r="F2" s="79"/>
      <c r="G2" s="79"/>
      <c r="H2" s="79"/>
    </row>
    <row r="3" spans="1:8" ht="19.5" customHeight="1">
      <c r="A3" s="1"/>
      <c r="B3" s="4" t="s">
        <v>4</v>
      </c>
      <c r="C3" s="5" t="s">
        <v>5</v>
      </c>
      <c r="D3" s="1"/>
      <c r="E3" s="6" t="s">
        <v>6</v>
      </c>
      <c r="F3" s="7" t="s">
        <v>7</v>
      </c>
      <c r="G3" s="7" t="s">
        <v>8</v>
      </c>
      <c r="H3" s="8" t="s">
        <v>9</v>
      </c>
    </row>
    <row r="4" spans="1:8" ht="28.5" customHeight="1">
      <c r="A4" s="1"/>
      <c r="B4" s="4" t="s">
        <v>10</v>
      </c>
      <c r="C4" s="5" t="s">
        <v>11</v>
      </c>
      <c r="D4" s="1"/>
      <c r="E4" s="9">
        <f>COUNTA(A14:A23)</f>
        <v>10</v>
      </c>
      <c r="F4" s="10">
        <f>COUNTIF(H14:H23, "Passed")</f>
        <v>10</v>
      </c>
      <c r="G4" s="11">
        <f>COUNTIF(H14:H23, "Failed")</f>
        <v>0</v>
      </c>
      <c r="H4" s="12">
        <f>IF(COUNTA(A14:A23)=0, 0, COUNTIF(H14:H23, "&lt;&gt;Not Executed")/COUNTA(A14:A23))</f>
        <v>1</v>
      </c>
    </row>
    <row r="5" spans="1:8" ht="33.6" customHeight="1">
      <c r="A5" s="1"/>
      <c r="B5" s="4" t="s">
        <v>12</v>
      </c>
      <c r="C5" s="5" t="s">
        <v>13</v>
      </c>
      <c r="D5" s="1"/>
      <c r="E5" s="6" t="s">
        <v>14</v>
      </c>
      <c r="F5" s="7" t="s">
        <v>15</v>
      </c>
      <c r="G5" s="7" t="s">
        <v>16</v>
      </c>
      <c r="H5" s="8" t="s">
        <v>17</v>
      </c>
    </row>
    <row r="6" spans="1:8" ht="30.6" customHeight="1">
      <c r="A6" s="1"/>
      <c r="B6" s="4" t="s">
        <v>18</v>
      </c>
      <c r="C6" s="5" t="s">
        <v>19</v>
      </c>
      <c r="D6" s="1"/>
      <c r="E6" s="13">
        <f>COUNTIF(H14:H23, "Blocked")</f>
        <v>0</v>
      </c>
      <c r="F6" s="14">
        <f>COUNTIF(H14:H23, "Not Executed")</f>
        <v>0</v>
      </c>
      <c r="G6" s="15">
        <f>IFERROR(COUNTIF(H14:H23, "Passed")/(COUNTIF(H14:H23, "Passed")+COUNTIF(H14:H23, "Failed")), 0)</f>
        <v>1</v>
      </c>
      <c r="H6" s="16" t="str">
        <f>IF(H4=1, "Completed", IF(H4&gt;0, "In Progress", "Not Started"))</f>
        <v>Completed</v>
      </c>
    </row>
    <row r="7" spans="1:8" ht="19.5" customHeight="1">
      <c r="A7" s="1"/>
      <c r="B7" s="4" t="s">
        <v>20</v>
      </c>
      <c r="C7" s="5" t="s">
        <v>21</v>
      </c>
      <c r="D7" s="1"/>
      <c r="E7" s="1"/>
      <c r="F7" s="1"/>
      <c r="G7" s="1"/>
      <c r="H7" s="1"/>
    </row>
    <row r="8" spans="1:8" ht="19.5" customHeight="1">
      <c r="A8" s="1"/>
      <c r="B8" s="4" t="s">
        <v>22</v>
      </c>
      <c r="C8" s="5" t="s">
        <v>23</v>
      </c>
      <c r="D8" s="1"/>
      <c r="E8" s="80"/>
      <c r="F8" s="80"/>
      <c r="G8" s="80"/>
      <c r="H8" s="80"/>
    </row>
    <row r="9" spans="1:8" ht="19.5" customHeight="1">
      <c r="A9" s="1"/>
      <c r="B9" s="4" t="s">
        <v>24</v>
      </c>
      <c r="C9" s="5" t="s">
        <v>25</v>
      </c>
      <c r="D9" s="1"/>
      <c r="E9" s="81"/>
      <c r="F9" s="81"/>
      <c r="G9" s="81"/>
      <c r="H9" s="81"/>
    </row>
    <row r="10" spans="1:8" ht="21" customHeight="1">
      <c r="A10" s="1"/>
      <c r="B10" s="4" t="s">
        <v>26</v>
      </c>
      <c r="C10" s="5" t="s">
        <v>27</v>
      </c>
      <c r="D10" s="1"/>
      <c r="E10" s="17"/>
      <c r="F10" s="18"/>
      <c r="G10" s="19"/>
      <c r="H10" s="18"/>
    </row>
    <row r="11" spans="1:8" ht="21" customHeight="1">
      <c r="A11" s="1"/>
      <c r="B11" s="20" t="s">
        <v>28</v>
      </c>
      <c r="C11" s="21"/>
      <c r="D11" s="1"/>
      <c r="E11" s="22"/>
      <c r="F11" s="18"/>
      <c r="G11" s="23"/>
      <c r="H11" s="18"/>
    </row>
    <row r="12" spans="1:8" ht="21" customHeight="1">
      <c r="A12" s="1"/>
      <c r="B12" s="1"/>
      <c r="C12" s="1"/>
      <c r="D12" s="1"/>
      <c r="E12" s="82"/>
      <c r="F12" s="82"/>
      <c r="G12" s="82"/>
      <c r="H12" s="82"/>
    </row>
    <row r="13" spans="1:8" ht="27" customHeight="1">
      <c r="A13" s="24" t="s">
        <v>29</v>
      </c>
      <c r="B13" s="25" t="s">
        <v>30</v>
      </c>
      <c r="C13" s="25" t="s">
        <v>31</v>
      </c>
      <c r="D13" s="26" t="s">
        <v>32</v>
      </c>
      <c r="E13" s="26" t="s">
        <v>26</v>
      </c>
      <c r="F13" s="26" t="s">
        <v>33</v>
      </c>
      <c r="G13" s="27" t="s">
        <v>34</v>
      </c>
      <c r="H13" s="28" t="s">
        <v>35</v>
      </c>
    </row>
    <row r="14" spans="1:8" ht="32.4" customHeight="1">
      <c r="A14" s="29" t="s">
        <v>36</v>
      </c>
      <c r="B14" s="30" t="s">
        <v>37</v>
      </c>
      <c r="C14" s="31" t="s">
        <v>38</v>
      </c>
      <c r="D14" s="31" t="s">
        <v>39</v>
      </c>
      <c r="E14" s="31" t="s">
        <v>40</v>
      </c>
      <c r="F14" s="31" t="s">
        <v>41</v>
      </c>
      <c r="G14" s="32" t="s">
        <v>42</v>
      </c>
      <c r="H14" s="33" t="s">
        <v>43</v>
      </c>
    </row>
    <row r="15" spans="1:8" ht="36.6" customHeight="1">
      <c r="A15" s="34" t="s">
        <v>44</v>
      </c>
      <c r="B15" s="35" t="s">
        <v>37</v>
      </c>
      <c r="C15" s="36" t="s">
        <v>45</v>
      </c>
      <c r="D15" s="36" t="s">
        <v>46</v>
      </c>
      <c r="E15" s="36" t="s">
        <v>47</v>
      </c>
      <c r="F15" s="36" t="s">
        <v>48</v>
      </c>
      <c r="G15" s="37" t="s">
        <v>42</v>
      </c>
      <c r="H15" s="38" t="s">
        <v>43</v>
      </c>
    </row>
    <row r="16" spans="1:8" ht="42" customHeight="1">
      <c r="A16" s="29" t="s">
        <v>49</v>
      </c>
      <c r="B16" s="30" t="s">
        <v>50</v>
      </c>
      <c r="C16" s="31" t="s">
        <v>51</v>
      </c>
      <c r="D16" s="31" t="s">
        <v>52</v>
      </c>
      <c r="E16" s="31" t="s">
        <v>53</v>
      </c>
      <c r="F16" s="31" t="s">
        <v>54</v>
      </c>
      <c r="G16" s="32" t="s">
        <v>42</v>
      </c>
      <c r="H16" s="33" t="s">
        <v>43</v>
      </c>
    </row>
    <row r="17" spans="1:8" ht="32.4" customHeight="1">
      <c r="A17" s="34" t="s">
        <v>55</v>
      </c>
      <c r="B17" s="35" t="s">
        <v>50</v>
      </c>
      <c r="C17" s="36" t="s">
        <v>56</v>
      </c>
      <c r="D17" s="36" t="s">
        <v>57</v>
      </c>
      <c r="E17" s="36" t="s">
        <v>58</v>
      </c>
      <c r="F17" s="36" t="s">
        <v>59</v>
      </c>
      <c r="G17" s="37" t="s">
        <v>60</v>
      </c>
      <c r="H17" s="38" t="s">
        <v>43</v>
      </c>
    </row>
    <row r="18" spans="1:8" ht="37.200000000000003" customHeight="1">
      <c r="A18" s="29" t="s">
        <v>61</v>
      </c>
      <c r="B18" s="30" t="s">
        <v>50</v>
      </c>
      <c r="C18" s="31" t="s">
        <v>62</v>
      </c>
      <c r="D18" s="31" t="s">
        <v>63</v>
      </c>
      <c r="E18" s="31" t="s">
        <v>64</v>
      </c>
      <c r="F18" s="31" t="s">
        <v>65</v>
      </c>
      <c r="G18" s="32" t="s">
        <v>42</v>
      </c>
      <c r="H18" s="33" t="s">
        <v>43</v>
      </c>
    </row>
    <row r="19" spans="1:8" ht="34.200000000000003" customHeight="1">
      <c r="A19" s="34" t="s">
        <v>66</v>
      </c>
      <c r="B19" s="35" t="s">
        <v>67</v>
      </c>
      <c r="C19" s="36" t="s">
        <v>68</v>
      </c>
      <c r="D19" s="36" t="s">
        <v>69</v>
      </c>
      <c r="E19" s="36" t="s">
        <v>70</v>
      </c>
      <c r="F19" s="36" t="s">
        <v>71</v>
      </c>
      <c r="G19" s="37" t="s">
        <v>42</v>
      </c>
      <c r="H19" s="38" t="s">
        <v>43</v>
      </c>
    </row>
    <row r="20" spans="1:8" ht="47.4" customHeight="1">
      <c r="A20" s="29" t="s">
        <v>72</v>
      </c>
      <c r="B20" s="30" t="s">
        <v>73</v>
      </c>
      <c r="C20" s="31" t="s">
        <v>74</v>
      </c>
      <c r="D20" s="31" t="s">
        <v>75</v>
      </c>
      <c r="E20" s="31" t="s">
        <v>76</v>
      </c>
      <c r="F20" s="31" t="s">
        <v>77</v>
      </c>
      <c r="G20" s="32" t="s">
        <v>42</v>
      </c>
      <c r="H20" s="33" t="s">
        <v>43</v>
      </c>
    </row>
    <row r="21" spans="1:8" ht="48" customHeight="1">
      <c r="A21" s="39" t="s">
        <v>78</v>
      </c>
      <c r="B21" s="40" t="s">
        <v>79</v>
      </c>
      <c r="C21" s="41" t="s">
        <v>80</v>
      </c>
      <c r="D21" s="41" t="s">
        <v>81</v>
      </c>
      <c r="E21" s="41" t="s">
        <v>82</v>
      </c>
      <c r="F21" s="41" t="s">
        <v>83</v>
      </c>
      <c r="G21" s="42" t="s">
        <v>42</v>
      </c>
      <c r="H21" s="43" t="s">
        <v>43</v>
      </c>
    </row>
    <row r="22" spans="1:8" ht="40.799999999999997" customHeight="1">
      <c r="A22" s="29" t="s">
        <v>84</v>
      </c>
      <c r="B22" s="30" t="s">
        <v>85</v>
      </c>
      <c r="C22" s="31" t="s">
        <v>86</v>
      </c>
      <c r="D22" s="31" t="s">
        <v>87</v>
      </c>
      <c r="E22" s="31" t="s">
        <v>88</v>
      </c>
      <c r="F22" s="31" t="s">
        <v>89</v>
      </c>
      <c r="G22" s="32" t="s">
        <v>42</v>
      </c>
      <c r="H22" s="33" t="s">
        <v>43</v>
      </c>
    </row>
    <row r="23" spans="1:8" ht="34.5" customHeight="1">
      <c r="A23" s="34" t="s">
        <v>90</v>
      </c>
      <c r="B23" s="35" t="s">
        <v>91</v>
      </c>
      <c r="C23" s="36" t="s">
        <v>92</v>
      </c>
      <c r="D23" s="36" t="s">
        <v>93</v>
      </c>
      <c r="E23" s="36" t="s">
        <v>94</v>
      </c>
      <c r="F23" s="36" t="s">
        <v>95</v>
      </c>
      <c r="G23" s="37" t="s">
        <v>42</v>
      </c>
      <c r="H23" s="38" t="s">
        <v>43</v>
      </c>
    </row>
  </sheetData>
  <mergeCells count="5">
    <mergeCell ref="B1:H1"/>
    <mergeCell ref="E2:H2"/>
    <mergeCell ref="E8:H8"/>
    <mergeCell ref="E9:H9"/>
    <mergeCell ref="E12:H1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showGridLines="0" zoomScale="88" zoomScaleNormal="100" workbookViewId="0">
      <selection activeCell="F10" sqref="F10"/>
    </sheetView>
  </sheetViews>
  <sheetFormatPr defaultColWidth="12.6640625" defaultRowHeight="13.2"/>
  <cols>
    <col min="1" max="2" width="18.21875" customWidth="1"/>
    <col min="3" max="3" width="32.6640625" customWidth="1"/>
    <col min="4" max="4" width="42.6640625" customWidth="1"/>
    <col min="5" max="5" width="15.77734375" customWidth="1"/>
    <col min="6" max="6" width="33.88671875" customWidth="1"/>
    <col min="7" max="7" width="18.21875" customWidth="1"/>
    <col min="8" max="8" width="20.77734375" customWidth="1"/>
  </cols>
  <sheetData>
    <row r="1" spans="1:8" ht="31.5" customHeight="1">
      <c r="A1" s="88" t="s">
        <v>96</v>
      </c>
      <c r="B1" s="88"/>
      <c r="C1" s="88"/>
      <c r="D1" s="88"/>
      <c r="E1" s="88"/>
      <c r="F1" s="88"/>
      <c r="G1" s="88"/>
      <c r="H1" s="88"/>
    </row>
    <row r="2" spans="1:8" ht="21" customHeight="1">
      <c r="A2" s="90" t="s">
        <v>1</v>
      </c>
      <c r="B2" s="89" t="s">
        <v>2</v>
      </c>
      <c r="C2" s="89"/>
      <c r="D2" s="89"/>
      <c r="E2" s="91" t="s">
        <v>3</v>
      </c>
      <c r="F2" s="91"/>
      <c r="G2" s="91"/>
      <c r="H2" s="91"/>
    </row>
    <row r="3" spans="1:8" ht="18" customHeight="1">
      <c r="A3" s="44" t="s">
        <v>4</v>
      </c>
      <c r="B3" s="83" t="s">
        <v>97</v>
      </c>
      <c r="C3" s="83"/>
      <c r="D3" s="83"/>
      <c r="E3" s="45" t="s">
        <v>6</v>
      </c>
      <c r="F3" s="46" t="s">
        <v>7</v>
      </c>
      <c r="G3" s="46" t="s">
        <v>8</v>
      </c>
      <c r="H3" s="47" t="s">
        <v>9</v>
      </c>
    </row>
    <row r="4" spans="1:8" ht="24" customHeight="1">
      <c r="A4" s="44" t="s">
        <v>10</v>
      </c>
      <c r="B4" s="83" t="s">
        <v>98</v>
      </c>
      <c r="C4" s="83"/>
      <c r="D4" s="83"/>
      <c r="E4" s="48">
        <f>COUNTA(A14:A23)</f>
        <v>10</v>
      </c>
      <c r="F4" s="49">
        <f>COUNTIF(H14:H23, "Passed")</f>
        <v>1</v>
      </c>
      <c r="G4" s="50">
        <f>COUNTIF(H14:H23, "Failed")</f>
        <v>1</v>
      </c>
      <c r="H4" s="51">
        <f>IF(COUNTA(A14:A23)=0, 0, COUNTIF(H14:H23, "&lt;&gt;Not Executed")/COUNTA(A14:A23))</f>
        <v>0.2</v>
      </c>
    </row>
    <row r="5" spans="1:8" ht="18" customHeight="1">
      <c r="A5" s="44" t="s">
        <v>12</v>
      </c>
      <c r="B5" s="83" t="s">
        <v>99</v>
      </c>
      <c r="C5" s="83"/>
      <c r="D5" s="83"/>
      <c r="E5" s="45" t="s">
        <v>14</v>
      </c>
      <c r="F5" s="46" t="s">
        <v>15</v>
      </c>
      <c r="G5" s="46" t="s">
        <v>16</v>
      </c>
      <c r="H5" s="47" t="s">
        <v>17</v>
      </c>
    </row>
    <row r="6" spans="1:8" ht="24" customHeight="1">
      <c r="A6" s="44" t="s">
        <v>18</v>
      </c>
      <c r="B6" s="83" t="s">
        <v>100</v>
      </c>
      <c r="C6" s="83"/>
      <c r="D6" s="83"/>
      <c r="E6" s="52">
        <f>COUNTIF(H14:H23, "Blocked")</f>
        <v>0</v>
      </c>
      <c r="F6" s="53">
        <f>COUNTIF(H14:H23, "Not Executed")</f>
        <v>8</v>
      </c>
      <c r="G6" s="54">
        <f>IFERROR(COUNTIF(H14:H23, "Passed")/(COUNTIF(H14:H23, "Passed")+COUNTIF(H14:H23, "Failed")), 0)</f>
        <v>0.5</v>
      </c>
      <c r="H6" s="55" t="str">
        <f>IF(H4=1, "Completed", IF(H4&gt;0, "In Progress", "Not Started"))</f>
        <v>In Progress</v>
      </c>
    </row>
    <row r="7" spans="1:8" ht="21" customHeight="1">
      <c r="A7" s="44" t="s">
        <v>20</v>
      </c>
      <c r="B7" s="83" t="s">
        <v>21</v>
      </c>
      <c r="C7" s="83"/>
      <c r="D7" s="83"/>
      <c r="E7" s="56"/>
      <c r="F7" s="56"/>
      <c r="G7" s="56"/>
      <c r="H7" s="56"/>
    </row>
    <row r="8" spans="1:8" ht="21" customHeight="1">
      <c r="A8" s="44" t="s">
        <v>22</v>
      </c>
      <c r="B8" s="83" t="s">
        <v>101</v>
      </c>
      <c r="C8" s="83"/>
      <c r="D8" s="83"/>
      <c r="E8" s="87"/>
      <c r="F8" s="87"/>
      <c r="G8" s="87"/>
      <c r="H8" s="87"/>
    </row>
    <row r="9" spans="1:8" ht="19.5" customHeight="1">
      <c r="A9" s="44" t="s">
        <v>24</v>
      </c>
      <c r="B9" s="83" t="s">
        <v>102</v>
      </c>
      <c r="C9" s="83"/>
      <c r="D9" s="83"/>
      <c r="E9" s="84"/>
      <c r="F9" s="84"/>
      <c r="G9" s="84"/>
      <c r="H9" s="84"/>
    </row>
    <row r="10" spans="1:8" ht="19.5" customHeight="1">
      <c r="A10" s="44" t="s">
        <v>26</v>
      </c>
      <c r="B10" s="83" t="s">
        <v>103</v>
      </c>
      <c r="C10" s="83"/>
      <c r="D10" s="83"/>
      <c r="E10" s="57"/>
      <c r="F10" s="58"/>
      <c r="G10" s="59"/>
      <c r="H10" s="58"/>
    </row>
    <row r="11" spans="1:8" ht="19.5" customHeight="1">
      <c r="A11" s="60" t="s">
        <v>28</v>
      </c>
      <c r="B11" s="85"/>
      <c r="C11" s="85"/>
      <c r="D11" s="85"/>
      <c r="E11" s="61"/>
      <c r="F11" s="58"/>
      <c r="G11" s="62"/>
      <c r="H11" s="58"/>
    </row>
    <row r="12" spans="1:8" ht="18" customHeight="1">
      <c r="A12" s="63"/>
      <c r="B12" s="63"/>
      <c r="C12" s="63"/>
      <c r="D12" s="63"/>
      <c r="E12" s="86"/>
      <c r="F12" s="86"/>
      <c r="G12" s="86"/>
      <c r="H12" s="86"/>
    </row>
    <row r="13" spans="1:8" ht="24" customHeight="1">
      <c r="A13" s="92" t="s">
        <v>29</v>
      </c>
      <c r="B13" s="93" t="s">
        <v>30</v>
      </c>
      <c r="C13" s="93" t="s">
        <v>31</v>
      </c>
      <c r="D13" s="93" t="s">
        <v>32</v>
      </c>
      <c r="E13" s="94" t="s">
        <v>26</v>
      </c>
      <c r="F13" s="94" t="s">
        <v>33</v>
      </c>
      <c r="G13" s="95" t="s">
        <v>34</v>
      </c>
      <c r="H13" s="96" t="s">
        <v>35</v>
      </c>
    </row>
    <row r="14" spans="1:8" ht="27" customHeight="1">
      <c r="A14" s="64" t="s">
        <v>36</v>
      </c>
      <c r="B14" s="65" t="s">
        <v>104</v>
      </c>
      <c r="C14" s="66" t="s">
        <v>105</v>
      </c>
      <c r="D14" s="67" t="s">
        <v>106</v>
      </c>
      <c r="E14" s="68" t="s">
        <v>107</v>
      </c>
      <c r="F14" s="67" t="s">
        <v>108</v>
      </c>
      <c r="G14" s="69" t="s">
        <v>42</v>
      </c>
      <c r="H14" s="70" t="s">
        <v>43</v>
      </c>
    </row>
    <row r="15" spans="1:8" ht="27" customHeight="1">
      <c r="A15" s="64" t="s">
        <v>44</v>
      </c>
      <c r="B15" s="65" t="s">
        <v>104</v>
      </c>
      <c r="C15" s="66" t="s">
        <v>109</v>
      </c>
      <c r="D15" s="67" t="s">
        <v>110</v>
      </c>
      <c r="E15" s="68" t="s">
        <v>111</v>
      </c>
      <c r="F15" s="67" t="s">
        <v>112</v>
      </c>
      <c r="G15" s="69" t="s">
        <v>113</v>
      </c>
      <c r="H15" s="70" t="s">
        <v>114</v>
      </c>
    </row>
    <row r="16" spans="1:8" ht="27" customHeight="1">
      <c r="A16" s="64" t="s">
        <v>49</v>
      </c>
      <c r="B16" s="65" t="s">
        <v>115</v>
      </c>
      <c r="C16" s="66" t="s">
        <v>116</v>
      </c>
      <c r="D16" s="67" t="s">
        <v>117</v>
      </c>
      <c r="E16" s="68" t="s">
        <v>118</v>
      </c>
      <c r="F16" s="67" t="s">
        <v>119</v>
      </c>
      <c r="G16" s="69" t="s">
        <v>120</v>
      </c>
      <c r="H16" s="70" t="s">
        <v>121</v>
      </c>
    </row>
    <row r="17" spans="1:8" ht="27" customHeight="1">
      <c r="A17" s="64" t="s">
        <v>55</v>
      </c>
      <c r="B17" s="65" t="s">
        <v>115</v>
      </c>
      <c r="C17" s="66" t="s">
        <v>122</v>
      </c>
      <c r="D17" s="67" t="s">
        <v>123</v>
      </c>
      <c r="E17" s="68" t="s">
        <v>124</v>
      </c>
      <c r="F17" s="67" t="s">
        <v>125</v>
      </c>
      <c r="G17" s="69" t="s">
        <v>113</v>
      </c>
      <c r="H17" s="70" t="s">
        <v>114</v>
      </c>
    </row>
    <row r="18" spans="1:8" ht="27" customHeight="1">
      <c r="A18" s="64" t="s">
        <v>61</v>
      </c>
      <c r="B18" s="65" t="s">
        <v>126</v>
      </c>
      <c r="C18" s="66" t="s">
        <v>127</v>
      </c>
      <c r="D18" s="67" t="s">
        <v>128</v>
      </c>
      <c r="E18" s="68" t="s">
        <v>129</v>
      </c>
      <c r="F18" s="67" t="s">
        <v>130</v>
      </c>
      <c r="G18" s="69" t="s">
        <v>113</v>
      </c>
      <c r="H18" s="70" t="s">
        <v>114</v>
      </c>
    </row>
    <row r="19" spans="1:8" ht="27" customHeight="1">
      <c r="A19" s="64" t="s">
        <v>66</v>
      </c>
      <c r="B19" s="65" t="s">
        <v>131</v>
      </c>
      <c r="C19" s="66" t="s">
        <v>132</v>
      </c>
      <c r="D19" s="67" t="s">
        <v>133</v>
      </c>
      <c r="E19" s="68" t="s">
        <v>134</v>
      </c>
      <c r="F19" s="67" t="s">
        <v>135</v>
      </c>
      <c r="G19" s="69" t="s">
        <v>113</v>
      </c>
      <c r="H19" s="70" t="s">
        <v>114</v>
      </c>
    </row>
    <row r="20" spans="1:8" ht="27" customHeight="1">
      <c r="A20" s="64" t="s">
        <v>72</v>
      </c>
      <c r="B20" s="65" t="s">
        <v>131</v>
      </c>
      <c r="C20" s="66" t="s">
        <v>136</v>
      </c>
      <c r="D20" s="67" t="s">
        <v>137</v>
      </c>
      <c r="E20" s="68" t="s">
        <v>138</v>
      </c>
      <c r="F20" s="67" t="s">
        <v>139</v>
      </c>
      <c r="G20" s="69" t="s">
        <v>113</v>
      </c>
      <c r="H20" s="70" t="s">
        <v>114</v>
      </c>
    </row>
    <row r="21" spans="1:8" ht="27" customHeight="1">
      <c r="A21" s="64" t="s">
        <v>78</v>
      </c>
      <c r="B21" s="65" t="s">
        <v>140</v>
      </c>
      <c r="C21" s="66" t="s">
        <v>141</v>
      </c>
      <c r="D21" s="67" t="s">
        <v>142</v>
      </c>
      <c r="E21" s="68" t="s">
        <v>143</v>
      </c>
      <c r="F21" s="67" t="s">
        <v>144</v>
      </c>
      <c r="G21" s="69" t="s">
        <v>113</v>
      </c>
      <c r="H21" s="70" t="s">
        <v>114</v>
      </c>
    </row>
    <row r="22" spans="1:8" ht="27" customHeight="1">
      <c r="A22" s="64" t="s">
        <v>84</v>
      </c>
      <c r="B22" s="65" t="s">
        <v>145</v>
      </c>
      <c r="C22" s="66" t="s">
        <v>146</v>
      </c>
      <c r="D22" s="67" t="s">
        <v>147</v>
      </c>
      <c r="E22" s="68" t="s">
        <v>148</v>
      </c>
      <c r="F22" s="67" t="s">
        <v>149</v>
      </c>
      <c r="G22" s="69" t="s">
        <v>113</v>
      </c>
      <c r="H22" s="70" t="s">
        <v>114</v>
      </c>
    </row>
    <row r="23" spans="1:8" ht="27" customHeight="1">
      <c r="A23" s="71" t="s">
        <v>90</v>
      </c>
      <c r="B23" s="72" t="s">
        <v>150</v>
      </c>
      <c r="C23" s="73" t="s">
        <v>151</v>
      </c>
      <c r="D23" s="74" t="s">
        <v>152</v>
      </c>
      <c r="E23" s="75" t="s">
        <v>153</v>
      </c>
      <c r="F23" s="74" t="s">
        <v>154</v>
      </c>
      <c r="G23" s="76" t="s">
        <v>113</v>
      </c>
      <c r="H23" s="77" t="s">
        <v>114</v>
      </c>
    </row>
  </sheetData>
  <mergeCells count="15">
    <mergeCell ref="A1:H1"/>
    <mergeCell ref="B2:D2"/>
    <mergeCell ref="E2:H2"/>
    <mergeCell ref="B3:D3"/>
    <mergeCell ref="B4:D4"/>
    <mergeCell ref="B5:D5"/>
    <mergeCell ref="B6:D6"/>
    <mergeCell ref="B7:D7"/>
    <mergeCell ref="B8:D8"/>
    <mergeCell ref="E8:H8"/>
    <mergeCell ref="B9:D9"/>
    <mergeCell ref="E9:H9"/>
    <mergeCell ref="B10:D10"/>
    <mergeCell ref="B11:D11"/>
    <mergeCell ref="E12:H12"/>
  </mergeCells>
  <dataValidations count="2">
    <dataValidation type="list" allowBlank="1" sqref="H14:H23" xr:uid="{00000000-0002-0000-0100-000000000000}">
      <formula1>"Passed,Failed,Blocked,Not Executed"</formula1>
      <formula2>0</formula2>
    </dataValidation>
    <dataValidation type="list" allowBlank="1" sqref="G14:G23" xr:uid="{00000000-0002-0000-0100-000001000000}">
      <formula1>"Done as expected,Issue observed,Pending"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Justdial Testing</vt:lpstr>
      <vt:lpstr>Test Plan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 Keerthana</cp:lastModifiedBy>
  <cp:revision>0</cp:revision>
  <dcterms:created xsi:type="dcterms:W3CDTF">2026-09-17T05:54:57Z</dcterms:created>
  <dcterms:modified xsi:type="dcterms:W3CDTF">2026-09-17T06:26:28Z</dcterms:modified>
  <dc:language>en-US</dc:language>
</cp:coreProperties>
</file>